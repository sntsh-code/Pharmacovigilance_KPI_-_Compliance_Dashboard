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 ANALYST\PROJECTS\Resume Projects\Project 3 Pharmacovigilance KPI &amp; Compliance Dashboard\Analysis\"/>
    </mc:Choice>
  </mc:AlternateContent>
  <bookViews>
    <workbookView xWindow="0" yWindow="0" windowWidth="23040" windowHeight="9072" activeTab="1"/>
  </bookViews>
  <sheets>
    <sheet name="Dataset" sheetId="1" r:id="rId1"/>
    <sheet name="KPI_Calculations" sheetId="2" r:id="rId2"/>
  </sheets>
  <calcPr calcId="162913"/>
  <pivotCaches>
    <pivotCache cacheId="0" r:id="rId3"/>
  </pivotCaches>
</workbook>
</file>

<file path=xl/calcChain.xml><?xml version="1.0" encoding="utf-8"?>
<calcChain xmlns="http://schemas.openxmlformats.org/spreadsheetml/2006/main">
  <c r="AC8" i="2" l="1"/>
  <c r="AC7" i="2"/>
  <c r="U8" i="2"/>
  <c r="U7" i="2"/>
  <c r="O7" i="2"/>
  <c r="I7" i="2"/>
  <c r="I8" i="2"/>
  <c r="B7" i="2"/>
  <c r="B8" i="2"/>
  <c r="B9" i="2"/>
  <c r="B10" i="2"/>
  <c r="B11" i="2"/>
  <c r="B12" i="2"/>
</calcChain>
</file>

<file path=xl/sharedStrings.xml><?xml version="1.0" encoding="utf-8"?>
<sst xmlns="http://schemas.openxmlformats.org/spreadsheetml/2006/main" count="954" uniqueCount="186">
  <si>
    <t>Case_ID</t>
  </si>
  <si>
    <t>Product</t>
  </si>
  <si>
    <t>Region</t>
  </si>
  <si>
    <t>Seriousness</t>
  </si>
  <si>
    <t>Reported_Date</t>
  </si>
  <si>
    <t>Closed_Date</t>
  </si>
  <si>
    <t>Outcome</t>
  </si>
  <si>
    <t>Processing_Time</t>
  </si>
  <si>
    <t>Compliance_15_Day</t>
  </si>
  <si>
    <t>CASE_0001</t>
  </si>
  <si>
    <t>CASE_0002</t>
  </si>
  <si>
    <t>CASE_0003</t>
  </si>
  <si>
    <t>CASE_0004</t>
  </si>
  <si>
    <t>CASE_0005</t>
  </si>
  <si>
    <t>CASE_0006</t>
  </si>
  <si>
    <t>CASE_0007</t>
  </si>
  <si>
    <t>CASE_0008</t>
  </si>
  <si>
    <t>CASE_0009</t>
  </si>
  <si>
    <t>CASE_0010</t>
  </si>
  <si>
    <t>CASE_0011</t>
  </si>
  <si>
    <t>CASE_0012</t>
  </si>
  <si>
    <t>CASE_0013</t>
  </si>
  <si>
    <t>CASE_0014</t>
  </si>
  <si>
    <t>CASE_0015</t>
  </si>
  <si>
    <t>CASE_0016</t>
  </si>
  <si>
    <t>CASE_0017</t>
  </si>
  <si>
    <t>CASE_0018</t>
  </si>
  <si>
    <t>CASE_0019</t>
  </si>
  <si>
    <t>CASE_0020</t>
  </si>
  <si>
    <t>CASE_0021</t>
  </si>
  <si>
    <t>CASE_0022</t>
  </si>
  <si>
    <t>CASE_0023</t>
  </si>
  <si>
    <t>CASE_0024</t>
  </si>
  <si>
    <t>CASE_0025</t>
  </si>
  <si>
    <t>CASE_0026</t>
  </si>
  <si>
    <t>CASE_0027</t>
  </si>
  <si>
    <t>CASE_0028</t>
  </si>
  <si>
    <t>CASE_0029</t>
  </si>
  <si>
    <t>CASE_0030</t>
  </si>
  <si>
    <t>CASE_0031</t>
  </si>
  <si>
    <t>CASE_0032</t>
  </si>
  <si>
    <t>CASE_0033</t>
  </si>
  <si>
    <t>CASE_0034</t>
  </si>
  <si>
    <t>CASE_0035</t>
  </si>
  <si>
    <t>CASE_0036</t>
  </si>
  <si>
    <t>CASE_0037</t>
  </si>
  <si>
    <t>CASE_0038</t>
  </si>
  <si>
    <t>CASE_0039</t>
  </si>
  <si>
    <t>CASE_0040</t>
  </si>
  <si>
    <t>CASE_0041</t>
  </si>
  <si>
    <t>CASE_0042</t>
  </si>
  <si>
    <t>CASE_0043</t>
  </si>
  <si>
    <t>CASE_0044</t>
  </si>
  <si>
    <t>CASE_0045</t>
  </si>
  <si>
    <t>CASE_0046</t>
  </si>
  <si>
    <t>CASE_0047</t>
  </si>
  <si>
    <t>CASE_0048</t>
  </si>
  <si>
    <t>CASE_0049</t>
  </si>
  <si>
    <t>CASE_0050</t>
  </si>
  <si>
    <t>CASE_0051</t>
  </si>
  <si>
    <t>CASE_0052</t>
  </si>
  <si>
    <t>CASE_0053</t>
  </si>
  <si>
    <t>CASE_0054</t>
  </si>
  <si>
    <t>CASE_0055</t>
  </si>
  <si>
    <t>CASE_0056</t>
  </si>
  <si>
    <t>CASE_0057</t>
  </si>
  <si>
    <t>CASE_0058</t>
  </si>
  <si>
    <t>CASE_0059</t>
  </si>
  <si>
    <t>CASE_0060</t>
  </si>
  <si>
    <t>CASE_0061</t>
  </si>
  <si>
    <t>CASE_0062</t>
  </si>
  <si>
    <t>CASE_0063</t>
  </si>
  <si>
    <t>CASE_0064</t>
  </si>
  <si>
    <t>CASE_0065</t>
  </si>
  <si>
    <t>CASE_0066</t>
  </si>
  <si>
    <t>CASE_0067</t>
  </si>
  <si>
    <t>CASE_0068</t>
  </si>
  <si>
    <t>CASE_0069</t>
  </si>
  <si>
    <t>CASE_0070</t>
  </si>
  <si>
    <t>CASE_0071</t>
  </si>
  <si>
    <t>CASE_0072</t>
  </si>
  <si>
    <t>CASE_0073</t>
  </si>
  <si>
    <t>CASE_0074</t>
  </si>
  <si>
    <t>CASE_0075</t>
  </si>
  <si>
    <t>CASE_0076</t>
  </si>
  <si>
    <t>CASE_0077</t>
  </si>
  <si>
    <t>CASE_0078</t>
  </si>
  <si>
    <t>CASE_0079</t>
  </si>
  <si>
    <t>CASE_0080</t>
  </si>
  <si>
    <t>CASE_0081</t>
  </si>
  <si>
    <t>CASE_0082</t>
  </si>
  <si>
    <t>CASE_0083</t>
  </si>
  <si>
    <t>CASE_0084</t>
  </si>
  <si>
    <t>CASE_0085</t>
  </si>
  <si>
    <t>CASE_0086</t>
  </si>
  <si>
    <t>CASE_0087</t>
  </si>
  <si>
    <t>CASE_0088</t>
  </si>
  <si>
    <t>CASE_0089</t>
  </si>
  <si>
    <t>CASE_0090</t>
  </si>
  <si>
    <t>CASE_0091</t>
  </si>
  <si>
    <t>CASE_0092</t>
  </si>
  <si>
    <t>CASE_0093</t>
  </si>
  <si>
    <t>CASE_0094</t>
  </si>
  <si>
    <t>CASE_0095</t>
  </si>
  <si>
    <t>CASE_0096</t>
  </si>
  <si>
    <t>CASE_0097</t>
  </si>
  <si>
    <t>CASE_0098</t>
  </si>
  <si>
    <t>CASE_0099</t>
  </si>
  <si>
    <t>CASE_0100</t>
  </si>
  <si>
    <t>CASE_0101</t>
  </si>
  <si>
    <t>CASE_0102</t>
  </si>
  <si>
    <t>CASE_0103</t>
  </si>
  <si>
    <t>CASE_0104</t>
  </si>
  <si>
    <t>CASE_0105</t>
  </si>
  <si>
    <t>CASE_0106</t>
  </si>
  <si>
    <t>CASE_0107</t>
  </si>
  <si>
    <t>CASE_0108</t>
  </si>
  <si>
    <t>CASE_0109</t>
  </si>
  <si>
    <t>CASE_0110</t>
  </si>
  <si>
    <t>CASE_0111</t>
  </si>
  <si>
    <t>CASE_0112</t>
  </si>
  <si>
    <t>CASE_0113</t>
  </si>
  <si>
    <t>CASE_0114</t>
  </si>
  <si>
    <t>CASE_0115</t>
  </si>
  <si>
    <t>CASE_0116</t>
  </si>
  <si>
    <t>CASE_0117</t>
  </si>
  <si>
    <t>CASE_0118</t>
  </si>
  <si>
    <t>CASE_0119</t>
  </si>
  <si>
    <t>CASE_0120</t>
  </si>
  <si>
    <t>CASE_0121</t>
  </si>
  <si>
    <t>CASE_0122</t>
  </si>
  <si>
    <t>CASE_0123</t>
  </si>
  <si>
    <t>CASE_0124</t>
  </si>
  <si>
    <t>CASE_0125</t>
  </si>
  <si>
    <t>CASE_0126</t>
  </si>
  <si>
    <t>CASE_0127</t>
  </si>
  <si>
    <t>CASE_0128</t>
  </si>
  <si>
    <t>CASE_0129</t>
  </si>
  <si>
    <t>CASE_0130</t>
  </si>
  <si>
    <t>CASE_0131</t>
  </si>
  <si>
    <t>CASE_0132</t>
  </si>
  <si>
    <t>CASE_0133</t>
  </si>
  <si>
    <t>CASE_0134</t>
  </si>
  <si>
    <t>CASE_0135</t>
  </si>
  <si>
    <t>CASE_0136</t>
  </si>
  <si>
    <t>CASE_0137</t>
  </si>
  <si>
    <t>CASE_0138</t>
  </si>
  <si>
    <t>CASE_0139</t>
  </si>
  <si>
    <t>CASE_0140</t>
  </si>
  <si>
    <t>CASE_0141</t>
  </si>
  <si>
    <t>CASE_0142</t>
  </si>
  <si>
    <t>CASE_0143</t>
  </si>
  <si>
    <t>CASE_0144</t>
  </si>
  <si>
    <t>CASE_0145</t>
  </si>
  <si>
    <t>CASE_0146</t>
  </si>
  <si>
    <t>CASE_0147</t>
  </si>
  <si>
    <t>CASE_0148</t>
  </si>
  <si>
    <t>CASE_0149</t>
  </si>
  <si>
    <t>CASE_0150</t>
  </si>
  <si>
    <t>Cardiovex</t>
  </si>
  <si>
    <t>Gastrofen</t>
  </si>
  <si>
    <t>Oncurex</t>
  </si>
  <si>
    <t>Respivax</t>
  </si>
  <si>
    <t>Neurozil</t>
  </si>
  <si>
    <t>Asia-Pacific</t>
  </si>
  <si>
    <t>Africa</t>
  </si>
  <si>
    <t>Europe</t>
  </si>
  <si>
    <t>South America</t>
  </si>
  <si>
    <t>Middle East</t>
  </si>
  <si>
    <t>North America</t>
  </si>
  <si>
    <t>Non-Serious</t>
  </si>
  <si>
    <t>Serious</t>
  </si>
  <si>
    <t>Fatal</t>
  </si>
  <si>
    <t>Unknown</t>
  </si>
  <si>
    <t>Recovered</t>
  </si>
  <si>
    <t>Not Recovered</t>
  </si>
  <si>
    <t>Recovering</t>
  </si>
  <si>
    <t>Yes</t>
  </si>
  <si>
    <t>No</t>
  </si>
  <si>
    <t>Row Labels</t>
  </si>
  <si>
    <t>Grand Total</t>
  </si>
  <si>
    <t>Count of Case_ID</t>
  </si>
  <si>
    <t>KPI Formula</t>
  </si>
  <si>
    <t>KPI Result</t>
  </si>
  <si>
    <t>Average of Processing_Time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</si>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</sst>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28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4" formatCode="0.00%"/>
    </dxf>
    <dxf>
      <alignment horizontal="left" readingOrder="0"/>
    </dxf>
    <dxf>
      <alignment horizontal="left" readingOrder="0"/>
    </dxf>
    <dxf>
      <alignment horizontal="center" readingOrder="0"/>
    </dxf>
    <dxf>
      <alignment horizontal="center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horizontal="left" readingOrder="0"/>
    </dxf>
    <dxf>
      <alignment horizontal="left" readingOrder="0"/>
    </dxf>
    <dxf>
      <alignment horizontal="center" readingOrder="0"/>
    </dxf>
    <dxf>
      <alignment horizontal="center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numFmt numFmtId="14" formatCode="0.00%"/>
    </dxf>
    <dxf>
      <alignment horizontal="left" readingOrder="0"/>
    </dxf>
    <dxf>
      <alignment horizontal="left" readingOrder="0"/>
    </dxf>
    <dxf>
      <alignment horizontal="center" readingOrder="0"/>
    </dxf>
    <dxf>
      <alignment horizontal="center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[kpi_calculation.xlsx]KPI_Calculations!PivotTable1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Cases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rgbClr val="0070C0"/>
            </a:solidFill>
            <a:round/>
          </a:ln>
          <a:effectLst/>
          <a:sp3d contourW="9525">
            <a:contourClr>
              <a:srgbClr val="0070C0"/>
            </a:contourClr>
          </a:sp3d>
        </c:spPr>
        <c:marker>
          <c:symbol val="none"/>
        </c:marker>
      </c:pivotFmt>
      <c:pivotFmt>
        <c:idx val="2"/>
        <c:spPr>
          <a:solidFill>
            <a:srgbClr val="C00000"/>
          </a:solidFill>
          <a:ln w="9525" cap="flat" cmpd="sng" algn="ctr">
            <a:solidFill>
              <a:srgbClr val="0070C0"/>
            </a:solidFill>
            <a:round/>
          </a:ln>
          <a:effectLst/>
          <a:sp3d contourW="9525">
            <a:contourClr>
              <a:srgbClr val="0070C0"/>
            </a:contourClr>
          </a:sp3d>
        </c:spPr>
      </c:pivotFmt>
      <c:pivotFmt>
        <c:idx val="3"/>
        <c:spPr>
          <a:solidFill>
            <a:srgbClr val="92D050"/>
          </a:solidFill>
          <a:ln w="9525" cap="flat" cmpd="sng" algn="ctr">
            <a:solidFill>
              <a:srgbClr val="0070C0"/>
            </a:solidFill>
            <a:round/>
          </a:ln>
          <a:effectLst/>
          <a:sp3d contourW="9525">
            <a:contourClr>
              <a:srgbClr val="0070C0"/>
            </a:contourClr>
          </a:sp3d>
        </c:spPr>
      </c:pivotFmt>
      <c:pivotFmt>
        <c:idx val="4"/>
        <c:spPr>
          <a:solidFill>
            <a:srgbClr val="FFC000"/>
          </a:solidFill>
          <a:ln w="9525" cap="flat" cmpd="sng" algn="ctr">
            <a:solidFill>
              <a:srgbClr val="0070C0"/>
            </a:solidFill>
            <a:round/>
          </a:ln>
          <a:effectLst/>
          <a:sp3d contourW="9525">
            <a:contourClr>
              <a:srgbClr val="0070C0"/>
            </a:contourClr>
          </a:sp3d>
        </c:spP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KPI_Calculations!$E$6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rgbClr val="0070C0"/>
              </a:solidFill>
              <a:round/>
            </a:ln>
            <a:effectLst/>
            <a:sp3d contourW="9525">
              <a:contourClr>
                <a:srgbClr val="0070C0"/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rgbClr val="0070C0"/>
                </a:solidFill>
                <a:round/>
              </a:ln>
              <a:effectLst/>
              <a:sp3d contourW="9525">
                <a:contourClr>
                  <a:srgbClr val="0070C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470-4DD5-AFEC-7C47AA477FE0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 w="9525" cap="flat" cmpd="sng" algn="ctr">
                <a:solidFill>
                  <a:srgbClr val="0070C0"/>
                </a:solidFill>
                <a:round/>
              </a:ln>
              <a:effectLst/>
              <a:sp3d contourW="9525">
                <a:contourClr>
                  <a:srgbClr val="0070C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470-4DD5-AFEC-7C47AA477FE0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solidFill>
                  <a:srgbClr val="0070C0"/>
                </a:solidFill>
                <a:round/>
              </a:ln>
              <a:effectLst/>
              <a:sp3d contourW="9525">
                <a:contourClr>
                  <a:srgbClr val="0070C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470-4DD5-AFEC-7C47AA477FE0}"/>
              </c:ext>
            </c:extLst>
          </c:dPt>
          <c:cat>
            <c:strRef>
              <c:f>KPI_Calculations!$D$7:$D$13</c:f>
              <c:strCache>
                <c:ptCount val="6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Middle East</c:v>
                </c:pt>
                <c:pt idx="4">
                  <c:v>North America</c:v>
                </c:pt>
                <c:pt idx="5">
                  <c:v>South America</c:v>
                </c:pt>
              </c:strCache>
            </c:strRef>
          </c:cat>
          <c:val>
            <c:numRef>
              <c:f>KPI_Calculations!$E$7:$E$13</c:f>
              <c:numCache>
                <c:formatCode>General</c:formatCode>
                <c:ptCount val="6"/>
                <c:pt idx="0">
                  <c:v>21</c:v>
                </c:pt>
                <c:pt idx="1">
                  <c:v>23</c:v>
                </c:pt>
                <c:pt idx="2">
                  <c:v>25</c:v>
                </c:pt>
                <c:pt idx="3">
                  <c:v>32</c:v>
                </c:pt>
                <c:pt idx="4">
                  <c:v>26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8-4B56-8146-64BF7340A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360321807"/>
        <c:axId val="360315983"/>
        <c:axId val="0"/>
      </c:bar3DChart>
      <c:catAx>
        <c:axId val="36032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15983"/>
        <c:crosses val="autoZero"/>
        <c:auto val="1"/>
        <c:lblAlgn val="ctr"/>
        <c:lblOffset val="100"/>
        <c:noMultiLvlLbl val="0"/>
      </c:catAx>
      <c:valAx>
        <c:axId val="36031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2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[kpi_calculation.xlsx]KPI_Calculations!PivotTable2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Serious &amp; Non-Serious Cases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KPI_Calculations!$L$6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929-42C7-B900-5F0B91A27C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929-42C7-B900-5F0B91A27C6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KPI_Calculations!$K$7:$K$9</c:f>
              <c:strCache>
                <c:ptCount val="2"/>
                <c:pt idx="0">
                  <c:v>Non-Serious</c:v>
                </c:pt>
                <c:pt idx="1">
                  <c:v>Serious</c:v>
                </c:pt>
              </c:strCache>
            </c:strRef>
          </c:cat>
          <c:val>
            <c:numRef>
              <c:f>KPI_Calculations!$L$7:$L$9</c:f>
              <c:numCache>
                <c:formatCode>0.00%</c:formatCode>
                <c:ptCount val="2"/>
                <c:pt idx="0">
                  <c:v>0.67333333333333334</c:v>
                </c:pt>
                <c:pt idx="1">
                  <c:v>0.32666666666666666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7-4645-BBE9-BD004DFA048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[kpi_calculation.xlsx]KPI_Calculations!PivotTable3</c:name>
    <c:fmtId val="29"/>
  </c:pivotSource>
  <c:chart>
    <c:title>
      <c:tx>
        <c:rich>
          <a:bodyPr rot="0" spcFirstLastPara="1" vertOverflow="ellipsis" vert="horz" wrap="square" anchor="t" anchorCtr="0"/>
          <a:lstStyle/>
          <a:p>
            <a:pPr algn="ctr"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Processing Day As Per Region</a:t>
            </a:r>
            <a:endParaRPr lang="en-US"/>
          </a:p>
        </c:rich>
      </c:tx>
      <c:layout>
        <c:manualLayout>
          <c:xMode val="edge"/>
          <c:yMode val="edge"/>
          <c:x val="0.16747555289765995"/>
          <c:y val="4.990531739088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2"/>
        <c:spPr>
          <a:solidFill>
            <a:srgbClr val="C0000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"/>
        <c:spPr>
          <a:solidFill>
            <a:srgbClr val="92D05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"/>
        <c:spPr>
          <a:solidFill>
            <a:srgbClr val="FFC00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KPI_Calculations!$R$6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A7-4B01-96BC-95C1377613A2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A7-4B01-96BC-95C1377613A2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A7-4B01-96BC-95C1377613A2}"/>
              </c:ext>
            </c:extLst>
          </c:dPt>
          <c:cat>
            <c:strRef>
              <c:f>KPI_Calculations!$Q$7:$Q$13</c:f>
              <c:strCache>
                <c:ptCount val="6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Middle East</c:v>
                </c:pt>
                <c:pt idx="4">
                  <c:v>North America</c:v>
                </c:pt>
                <c:pt idx="5">
                  <c:v>South America</c:v>
                </c:pt>
              </c:strCache>
            </c:strRef>
          </c:cat>
          <c:val>
            <c:numRef>
              <c:f>KPI_Calculations!$R$7:$R$13</c:f>
              <c:numCache>
                <c:formatCode>General</c:formatCode>
                <c:ptCount val="6"/>
                <c:pt idx="0">
                  <c:v>15.047619047619047</c:v>
                </c:pt>
                <c:pt idx="1">
                  <c:v>12.608695652173912</c:v>
                </c:pt>
                <c:pt idx="2">
                  <c:v>14.6</c:v>
                </c:pt>
                <c:pt idx="3">
                  <c:v>13.84375</c:v>
                </c:pt>
                <c:pt idx="4">
                  <c:v>13.346153846153847</c:v>
                </c:pt>
                <c:pt idx="5">
                  <c:v>14.652173913043478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F-4FA2-89A0-BF79089E1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60803903"/>
        <c:axId val="160805151"/>
        <c:axId val="0"/>
      </c:bar3DChart>
      <c:catAx>
        <c:axId val="160803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5151"/>
        <c:crosses val="autoZero"/>
        <c:auto val="1"/>
        <c:lblAlgn val="ctr"/>
        <c:lblOffset val="100"/>
        <c:noMultiLvlLbl val="0"/>
      </c:catAx>
      <c:valAx>
        <c:axId val="16080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[kpi_calculation.xlsx]KPI_Calculations!PivotTable4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Compliance Rate &lt;= 15 Days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KPI_Calculations!$X$6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027-403D-AE0D-995D69A206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027-403D-AE0D-995D69A206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KPI_Calculations!$W$7:$W$9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KPI_Calculations!$X$7:$X$9</c:f>
              <c:numCache>
                <c:formatCode>0.00%</c:formatCode>
                <c:ptCount val="2"/>
                <c:pt idx="0">
                  <c:v>0.44</c:v>
                </c:pt>
                <c:pt idx="1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0-4E1B-A375-1D024848842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Processing Time: Serious vs Non-Serious Cases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KPI_Calculations!$AC$6</c:f>
              <c:strCache>
                <c:ptCount val="1"/>
                <c:pt idx="0">
                  <c:v>KPI Formula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0"/>
                  <c:y val="9.687844656314007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3EE-4623-9D4A-504AECD6F025}"/>
                </c:ext>
              </c:extLst>
            </c:dLbl>
            <c:dLbl>
              <c:idx val="1"/>
              <c:layout>
                <c:manualLayout>
                  <c:x val="8.921227030437367E-17"/>
                  <c:y val="1.456827413410805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63EE-4623-9D4A-504AECD6F0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KPI_Calculations!$AC$7:$AC$8</c:f>
              <c:numCache>
                <c:formatCode>General</c:formatCode>
                <c:ptCount val="2"/>
                <c:pt idx="0">
                  <c:v>13.43</c:v>
                </c:pt>
                <c:pt idx="1">
                  <c:v>14.26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F-4ED3-B06E-A84CB2A53C7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26347007"/>
        <c:axId val="626345759"/>
      </c:barChart>
      <c:catAx>
        <c:axId val="626347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Serious</a:t>
                </a:r>
                <a:r>
                  <a:rPr lang="en-US" sz="1400" baseline="0"/>
                  <a:t> vs Non-Serious</a:t>
                </a:r>
                <a:endParaRPr lang="en-US" sz="14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345759"/>
        <c:crosses val="autoZero"/>
        <c:auto val="1"/>
        <c:lblAlgn val="ctr"/>
        <c:lblOffset val="100"/>
        <c:noMultiLvlLbl val="0"/>
      </c:catAx>
      <c:valAx>
        <c:axId val="62634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Days</a:t>
                </a:r>
              </a:p>
              <a:p>
                <a:pPr>
                  <a:defRPr sz="1400"/>
                </a:pPr>
                <a:endParaRPr lang="en-US" sz="14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34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[kpi_calculation.xlsx]KPI_Calculations!PivotTable7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Percentage of Product-wise Serious vs Non-Serious Cases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KPI_Calculations!$AL$6:$AL$7</c:f>
              <c:strCache>
                <c:ptCount val="1"/>
                <c:pt idx="0">
                  <c:v>Non-Serious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KPI_Calculations!$AK$8:$AK$13</c:f>
              <c:strCache>
                <c:ptCount val="5"/>
                <c:pt idx="0">
                  <c:v>Cardiovex</c:v>
                </c:pt>
                <c:pt idx="1">
                  <c:v>Gastrofen</c:v>
                </c:pt>
                <c:pt idx="2">
                  <c:v>Neurozil</c:v>
                </c:pt>
                <c:pt idx="3">
                  <c:v>Oncurex</c:v>
                </c:pt>
                <c:pt idx="4">
                  <c:v>Respivax</c:v>
                </c:pt>
              </c:strCache>
            </c:strRef>
          </c:cat>
          <c:val>
            <c:numRef>
              <c:f>KPI_Calculations!$AL$8:$AL$13</c:f>
              <c:numCache>
                <c:formatCode>0.00%</c:formatCode>
                <c:ptCount val="5"/>
                <c:pt idx="0">
                  <c:v>0.65625</c:v>
                </c:pt>
                <c:pt idx="1">
                  <c:v>0.75757575757575757</c:v>
                </c:pt>
                <c:pt idx="2">
                  <c:v>0.78125</c:v>
                </c:pt>
                <c:pt idx="3">
                  <c:v>0.51724137931034486</c:v>
                </c:pt>
                <c:pt idx="4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2-4F9A-BBA3-A4FABFF46292}"/>
            </c:ext>
          </c:extLst>
        </c:ser>
        <c:ser>
          <c:idx val="1"/>
          <c:order val="1"/>
          <c:tx>
            <c:strRef>
              <c:f>KPI_Calculations!$AM$6:$AM$7</c:f>
              <c:strCache>
                <c:ptCount val="1"/>
                <c:pt idx="0">
                  <c:v>Serious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KPI_Calculations!$AK$8:$AK$13</c:f>
              <c:strCache>
                <c:ptCount val="5"/>
                <c:pt idx="0">
                  <c:v>Cardiovex</c:v>
                </c:pt>
                <c:pt idx="1">
                  <c:v>Gastrofen</c:v>
                </c:pt>
                <c:pt idx="2">
                  <c:v>Neurozil</c:v>
                </c:pt>
                <c:pt idx="3">
                  <c:v>Oncurex</c:v>
                </c:pt>
                <c:pt idx="4">
                  <c:v>Respivax</c:v>
                </c:pt>
              </c:strCache>
            </c:strRef>
          </c:cat>
          <c:val>
            <c:numRef>
              <c:f>KPI_Calculations!$AM$8:$AM$13</c:f>
              <c:numCache>
                <c:formatCode>0.00%</c:formatCode>
                <c:ptCount val="5"/>
                <c:pt idx="0">
                  <c:v>0.34375</c:v>
                </c:pt>
                <c:pt idx="1">
                  <c:v>0.24242424242424243</c:v>
                </c:pt>
                <c:pt idx="2">
                  <c:v>0.21875</c:v>
                </c:pt>
                <c:pt idx="3">
                  <c:v>0.48275862068965519</c:v>
                </c:pt>
                <c:pt idx="4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C2-4F9A-BBA3-A4FABFF4629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26330783"/>
        <c:axId val="626335775"/>
      </c:barChart>
      <c:catAx>
        <c:axId val="62633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335775"/>
        <c:crosses val="autoZero"/>
        <c:auto val="1"/>
        <c:lblAlgn val="ctr"/>
        <c:lblOffset val="100"/>
        <c:noMultiLvlLbl val="0"/>
      </c:catAx>
      <c:valAx>
        <c:axId val="62633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33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7620</xdr:rowOff>
    </xdr:from>
    <xdr:to>
      <xdr:col>4</xdr:col>
      <xdr:colOff>1059180</xdr:colOff>
      <xdr:row>3</xdr:row>
      <xdr:rowOff>7620</xdr:rowOff>
    </xdr:to>
    <xdr:sp macro="" textlink="">
      <xdr:nvSpPr>
        <xdr:cNvPr id="2" name="TextBox 1"/>
        <xdr:cNvSpPr txBox="1"/>
      </xdr:nvSpPr>
      <xdr:spPr>
        <a:xfrm>
          <a:off x="609600" y="190500"/>
          <a:ext cx="3337560" cy="365760"/>
        </a:xfrm>
        <a:prstGeom prst="rect">
          <a:avLst/>
        </a:prstGeom>
        <a:solidFill>
          <a:schemeClr val="bg2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+mj-lt"/>
            </a:rPr>
            <a:t>1. Case Volume by Region</a:t>
          </a:r>
        </a:p>
      </xdr:txBody>
    </xdr:sp>
    <xdr:clientData/>
  </xdr:twoCellAnchor>
  <xdr:twoCellAnchor>
    <xdr:from>
      <xdr:col>0</xdr:col>
      <xdr:colOff>293370</xdr:colOff>
      <xdr:row>14</xdr:row>
      <xdr:rowOff>3810</xdr:rowOff>
    </xdr:from>
    <xdr:to>
      <xdr:col>6</xdr:col>
      <xdr:colOff>601980</xdr:colOff>
      <xdr:row>28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13</xdr:col>
      <xdr:colOff>7620</xdr:colOff>
      <xdr:row>3</xdr:row>
      <xdr:rowOff>0</xdr:rowOff>
    </xdr:to>
    <xdr:sp macro="" textlink="">
      <xdr:nvSpPr>
        <xdr:cNvPr id="4" name="TextBox 3"/>
        <xdr:cNvSpPr txBox="1"/>
      </xdr:nvSpPr>
      <xdr:spPr>
        <a:xfrm>
          <a:off x="5783580" y="182880"/>
          <a:ext cx="3886200" cy="365760"/>
        </a:xfrm>
        <a:prstGeom prst="rect">
          <a:avLst/>
        </a:prstGeom>
        <a:solidFill>
          <a:schemeClr val="bg2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+mj-lt"/>
            </a:rPr>
            <a:t>2. Percentage</a:t>
          </a:r>
          <a:r>
            <a:rPr lang="en-US" sz="1400" baseline="0">
              <a:latin typeface="+mj-lt"/>
            </a:rPr>
            <a:t> Serious &amp; Non-Serious Cases</a:t>
          </a:r>
          <a:endParaRPr lang="en-US" sz="1400">
            <a:latin typeface="+mj-lt"/>
          </a:endParaRPr>
        </a:p>
      </xdr:txBody>
    </xdr:sp>
    <xdr:clientData/>
  </xdr:twoCellAnchor>
  <xdr:twoCellAnchor>
    <xdr:from>
      <xdr:col>8</xdr:col>
      <xdr:colOff>0</xdr:colOff>
      <xdr:row>14</xdr:row>
      <xdr:rowOff>7620</xdr:rowOff>
    </xdr:from>
    <xdr:to>
      <xdr:col>13</xdr:col>
      <xdr:colOff>15240</xdr:colOff>
      <xdr:row>28</xdr:row>
      <xdr:rowOff>34290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18</xdr:col>
      <xdr:colOff>670560</xdr:colOff>
      <xdr:row>3</xdr:row>
      <xdr:rowOff>0</xdr:rowOff>
    </xdr:to>
    <xdr:sp macro="" textlink="">
      <xdr:nvSpPr>
        <xdr:cNvPr id="6" name="TextBox 5"/>
        <xdr:cNvSpPr txBox="1"/>
      </xdr:nvSpPr>
      <xdr:spPr>
        <a:xfrm>
          <a:off x="10271760" y="182880"/>
          <a:ext cx="4511040" cy="365760"/>
        </a:xfrm>
        <a:prstGeom prst="rect">
          <a:avLst/>
        </a:prstGeom>
        <a:solidFill>
          <a:schemeClr val="bg2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+mj-lt"/>
            </a:rPr>
            <a:t>3. Average</a:t>
          </a:r>
          <a:r>
            <a:rPr lang="en-US" sz="1400" baseline="0">
              <a:latin typeface="+mj-lt"/>
            </a:rPr>
            <a:t> Processing Time (Days)</a:t>
          </a:r>
          <a:endParaRPr lang="en-US" sz="1400">
            <a:latin typeface="+mj-lt"/>
          </a:endParaRPr>
        </a:p>
      </xdr:txBody>
    </xdr:sp>
    <xdr:clientData/>
  </xdr:twoCellAnchor>
  <xdr:twoCellAnchor>
    <xdr:from>
      <xdr:col>14</xdr:col>
      <xdr:colOff>3810</xdr:colOff>
      <xdr:row>13</xdr:row>
      <xdr:rowOff>179070</xdr:rowOff>
    </xdr:from>
    <xdr:to>
      <xdr:col>19</xdr:col>
      <xdr:colOff>7620</xdr:colOff>
      <xdr:row>28</xdr:row>
      <xdr:rowOff>7620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1</xdr:row>
      <xdr:rowOff>0</xdr:rowOff>
    </xdr:from>
    <xdr:to>
      <xdr:col>24</xdr:col>
      <xdr:colOff>601980</xdr:colOff>
      <xdr:row>3</xdr:row>
      <xdr:rowOff>0</xdr:rowOff>
    </xdr:to>
    <xdr:sp macro="" textlink="">
      <xdr:nvSpPr>
        <xdr:cNvPr id="8" name="TextBox 7"/>
        <xdr:cNvSpPr txBox="1"/>
      </xdr:nvSpPr>
      <xdr:spPr>
        <a:xfrm>
          <a:off x="15392400" y="182880"/>
          <a:ext cx="3505200" cy="365760"/>
        </a:xfrm>
        <a:prstGeom prst="rect">
          <a:avLst/>
        </a:prstGeom>
        <a:solidFill>
          <a:schemeClr val="bg2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+mj-lt"/>
            </a:rPr>
            <a:t>4. Compliance</a:t>
          </a:r>
          <a:r>
            <a:rPr lang="en-US" sz="1400" baseline="0">
              <a:latin typeface="+mj-lt"/>
            </a:rPr>
            <a:t> Rate (&lt;= 15 Days)</a:t>
          </a:r>
          <a:endParaRPr lang="en-US" sz="1400">
            <a:latin typeface="+mj-lt"/>
          </a:endParaRPr>
        </a:p>
      </xdr:txBody>
    </xdr:sp>
    <xdr:clientData/>
  </xdr:twoCellAnchor>
  <xdr:twoCellAnchor>
    <xdr:from>
      <xdr:col>20</xdr:col>
      <xdr:colOff>26670</xdr:colOff>
      <xdr:row>14</xdr:row>
      <xdr:rowOff>0</xdr:rowOff>
    </xdr:from>
    <xdr:to>
      <xdr:col>25</xdr:col>
      <xdr:colOff>22860</xdr:colOff>
      <xdr:row>28</xdr:row>
      <xdr:rowOff>30480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0</xdr:colOff>
      <xdr:row>1</xdr:row>
      <xdr:rowOff>0</xdr:rowOff>
    </xdr:from>
    <xdr:to>
      <xdr:col>32</xdr:col>
      <xdr:colOff>601980</xdr:colOff>
      <xdr:row>4</xdr:row>
      <xdr:rowOff>0</xdr:rowOff>
    </xdr:to>
    <xdr:sp macro="" textlink="">
      <xdr:nvSpPr>
        <xdr:cNvPr id="10" name="TextBox 9"/>
        <xdr:cNvSpPr txBox="1"/>
      </xdr:nvSpPr>
      <xdr:spPr>
        <a:xfrm>
          <a:off x="19606260" y="182880"/>
          <a:ext cx="4541520" cy="548640"/>
        </a:xfrm>
        <a:prstGeom prst="rect">
          <a:avLst/>
        </a:prstGeom>
        <a:solidFill>
          <a:schemeClr val="bg2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+mj-lt"/>
            </a:rPr>
            <a:t>5. Average</a:t>
          </a:r>
          <a:r>
            <a:rPr lang="en-US" sz="1400" baseline="0">
              <a:latin typeface="+mj-lt"/>
            </a:rPr>
            <a:t> Serious &amp; Non-Serious Processing Time </a:t>
          </a:r>
          <a:endParaRPr lang="en-US" sz="1400">
            <a:latin typeface="+mj-lt"/>
          </a:endParaRPr>
        </a:p>
      </xdr:txBody>
    </xdr:sp>
    <xdr:clientData/>
  </xdr:twoCellAnchor>
  <xdr:twoCellAnchor>
    <xdr:from>
      <xdr:col>25</xdr:col>
      <xdr:colOff>586740</xdr:colOff>
      <xdr:row>13</xdr:row>
      <xdr:rowOff>171450</xdr:rowOff>
    </xdr:from>
    <xdr:to>
      <xdr:col>33</xdr:col>
      <xdr:colOff>0</xdr:colOff>
      <xdr:row>28</xdr:row>
      <xdr:rowOff>30480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0</xdr:colOff>
      <xdr:row>1</xdr:row>
      <xdr:rowOff>7620</xdr:rowOff>
    </xdr:from>
    <xdr:to>
      <xdr:col>41</xdr:col>
      <xdr:colOff>0</xdr:colOff>
      <xdr:row>4</xdr:row>
      <xdr:rowOff>7620</xdr:rowOff>
    </xdr:to>
    <xdr:sp macro="" textlink="">
      <xdr:nvSpPr>
        <xdr:cNvPr id="13" name="TextBox 12"/>
        <xdr:cNvSpPr txBox="1"/>
      </xdr:nvSpPr>
      <xdr:spPr>
        <a:xfrm>
          <a:off x="25374600" y="190500"/>
          <a:ext cx="4579620" cy="548640"/>
        </a:xfrm>
        <a:prstGeom prst="rect">
          <a:avLst/>
        </a:prstGeom>
        <a:solidFill>
          <a:schemeClr val="bg2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+mj-lt"/>
            </a:rPr>
            <a:t>6. Percentage of Product</a:t>
          </a:r>
          <a:r>
            <a:rPr lang="en-US" sz="1400" baseline="0">
              <a:latin typeface="+mj-lt"/>
            </a:rPr>
            <a:t> wise Serious &amp; Non-Serious Cases</a:t>
          </a:r>
          <a:endParaRPr lang="en-US" sz="1400">
            <a:latin typeface="+mj-lt"/>
          </a:endParaRPr>
        </a:p>
      </xdr:txBody>
    </xdr:sp>
    <xdr:clientData/>
  </xdr:twoCellAnchor>
  <xdr:twoCellAnchor>
    <xdr:from>
      <xdr:col>35</xdr:col>
      <xdr:colOff>3810</xdr:colOff>
      <xdr:row>14</xdr:row>
      <xdr:rowOff>3810</xdr:rowOff>
    </xdr:from>
    <xdr:to>
      <xdr:col>40</xdr:col>
      <xdr:colOff>605790</xdr:colOff>
      <xdr:row>28</xdr:row>
      <xdr:rowOff>22860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960.702353703702" createdVersion="6" refreshedVersion="6" minRefreshableVersion="3" recordCount="150">
  <cacheSource type="worksheet">
    <worksheetSource ref="A1:I151" sheet="Dataset"/>
  </cacheSource>
  <cacheFields count="9">
    <cacheField name="Case_ID" numFmtId="0">
      <sharedItems/>
    </cacheField>
    <cacheField name="Product" numFmtId="0">
      <sharedItems count="5">
        <s v="Cardiovex"/>
        <s v="Gastrofen"/>
        <s v="Oncurex"/>
        <s v="Respivax"/>
        <s v="Neurozil"/>
      </sharedItems>
    </cacheField>
    <cacheField name="Region" numFmtId="0">
      <sharedItems count="6">
        <s v="Asia-Pacific"/>
        <s v="Africa"/>
        <s v="Europe"/>
        <s v="South America"/>
        <s v="Middle East"/>
        <s v="North America"/>
      </sharedItems>
    </cacheField>
    <cacheField name="Seriousness" numFmtId="0">
      <sharedItems count="2">
        <s v="Non-Serious"/>
        <s v="Serious"/>
      </sharedItems>
    </cacheField>
    <cacheField name="Reported_Date" numFmtId="164">
      <sharedItems containsSemiMixedTypes="0" containsNonDate="0" containsDate="1" containsString="0" minDate="2024-01-06T00:00:00" maxDate="2024-10-26T00:00:00"/>
    </cacheField>
    <cacheField name="Closed_Date" numFmtId="164">
      <sharedItems containsSemiMixedTypes="0" containsNonDate="0" containsDate="1" containsString="0" minDate="2024-01-16T00:00:00" maxDate="2024-11-10T00:00:00"/>
    </cacheField>
    <cacheField name="Outcome" numFmtId="0">
      <sharedItems/>
    </cacheField>
    <cacheField name="Processing_Time" numFmtId="0">
      <sharedItems containsSemiMixedTypes="0" containsString="0" containsNumber="1" containsInteger="1" minValue="3" maxValue="25"/>
    </cacheField>
    <cacheField name="Compliance_15_Day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">
  <r>
    <s v="CASE_0001"/>
    <x v="0"/>
    <x v="0"/>
    <x v="0"/>
    <d v="2024-08-06T00:00:00"/>
    <d v="2024-08-18T00:00:00"/>
    <s v="Fatal"/>
    <n v="12"/>
    <x v="0"/>
  </r>
  <r>
    <s v="CASE_0002"/>
    <x v="0"/>
    <x v="0"/>
    <x v="1"/>
    <d v="2024-01-27T00:00:00"/>
    <d v="2024-02-01T00:00:00"/>
    <s v="Unknown"/>
    <n v="5"/>
    <x v="0"/>
  </r>
  <r>
    <s v="CASE_0003"/>
    <x v="1"/>
    <x v="1"/>
    <x v="0"/>
    <d v="2024-10-17T00:00:00"/>
    <d v="2024-10-28T00:00:00"/>
    <s v="Recovered"/>
    <n v="11"/>
    <x v="0"/>
  </r>
  <r>
    <s v="CASE_0004"/>
    <x v="2"/>
    <x v="1"/>
    <x v="0"/>
    <d v="2024-04-06T00:00:00"/>
    <d v="2024-04-30T00:00:00"/>
    <s v="Recovered"/>
    <n v="24"/>
    <x v="1"/>
  </r>
  <r>
    <s v="CASE_0005"/>
    <x v="0"/>
    <x v="2"/>
    <x v="1"/>
    <d v="2024-06-05T00:00:00"/>
    <d v="2024-06-20T00:00:00"/>
    <s v="Unknown"/>
    <n v="15"/>
    <x v="0"/>
  </r>
  <r>
    <s v="CASE_0006"/>
    <x v="2"/>
    <x v="3"/>
    <x v="0"/>
    <d v="2024-03-28T00:00:00"/>
    <d v="2024-04-22T00:00:00"/>
    <s v="Not Recovered"/>
    <n v="25"/>
    <x v="1"/>
  </r>
  <r>
    <s v="CASE_0007"/>
    <x v="3"/>
    <x v="2"/>
    <x v="0"/>
    <d v="2024-04-02T00:00:00"/>
    <d v="2024-04-05T00:00:00"/>
    <s v="Not Recovered"/>
    <n v="3"/>
    <x v="0"/>
  </r>
  <r>
    <s v="CASE_0008"/>
    <x v="4"/>
    <x v="1"/>
    <x v="0"/>
    <d v="2024-05-28T00:00:00"/>
    <d v="2024-06-12T00:00:00"/>
    <s v="Not Recovered"/>
    <n v="15"/>
    <x v="0"/>
  </r>
  <r>
    <s v="CASE_0009"/>
    <x v="3"/>
    <x v="4"/>
    <x v="0"/>
    <d v="2024-02-19T00:00:00"/>
    <d v="2024-02-28T00:00:00"/>
    <s v="Unknown"/>
    <n v="9"/>
    <x v="0"/>
  </r>
  <r>
    <s v="CASE_0010"/>
    <x v="3"/>
    <x v="1"/>
    <x v="0"/>
    <d v="2024-03-24T00:00:00"/>
    <d v="2024-04-17T00:00:00"/>
    <s v="Recovered"/>
    <n v="24"/>
    <x v="1"/>
  </r>
  <r>
    <s v="CASE_0011"/>
    <x v="1"/>
    <x v="4"/>
    <x v="1"/>
    <d v="2024-08-09T00:00:00"/>
    <d v="2024-08-27T00:00:00"/>
    <s v="Unknown"/>
    <n v="18"/>
    <x v="1"/>
  </r>
  <r>
    <s v="CASE_0012"/>
    <x v="4"/>
    <x v="5"/>
    <x v="0"/>
    <d v="2024-09-19T00:00:00"/>
    <d v="2024-09-27T00:00:00"/>
    <s v="Unknown"/>
    <n v="8"/>
    <x v="0"/>
  </r>
  <r>
    <s v="CASE_0013"/>
    <x v="3"/>
    <x v="1"/>
    <x v="1"/>
    <d v="2024-02-17T00:00:00"/>
    <d v="2024-02-21T00:00:00"/>
    <s v="Not Recovered"/>
    <n v="4"/>
    <x v="0"/>
  </r>
  <r>
    <s v="CASE_0014"/>
    <x v="3"/>
    <x v="5"/>
    <x v="1"/>
    <d v="2024-10-20T00:00:00"/>
    <d v="2024-10-29T00:00:00"/>
    <s v="Recovering"/>
    <n v="9"/>
    <x v="0"/>
  </r>
  <r>
    <s v="CASE_0015"/>
    <x v="4"/>
    <x v="3"/>
    <x v="1"/>
    <d v="2024-04-20T00:00:00"/>
    <d v="2024-05-15T00:00:00"/>
    <s v="Recovered"/>
    <n v="25"/>
    <x v="1"/>
  </r>
  <r>
    <s v="CASE_0016"/>
    <x v="4"/>
    <x v="2"/>
    <x v="1"/>
    <d v="2024-02-05T00:00:00"/>
    <d v="2024-02-18T00:00:00"/>
    <s v="Not Recovered"/>
    <n v="13"/>
    <x v="0"/>
  </r>
  <r>
    <s v="CASE_0017"/>
    <x v="3"/>
    <x v="4"/>
    <x v="0"/>
    <d v="2024-01-25T00:00:00"/>
    <d v="2024-02-18T00:00:00"/>
    <s v="Recovering"/>
    <n v="24"/>
    <x v="1"/>
  </r>
  <r>
    <s v="CASE_0018"/>
    <x v="4"/>
    <x v="2"/>
    <x v="0"/>
    <d v="2024-07-04T00:00:00"/>
    <d v="2024-07-23T00:00:00"/>
    <s v="Recovering"/>
    <n v="19"/>
    <x v="1"/>
  </r>
  <r>
    <s v="CASE_0019"/>
    <x v="3"/>
    <x v="5"/>
    <x v="0"/>
    <d v="2024-10-03T00:00:00"/>
    <d v="2024-10-23T00:00:00"/>
    <s v="Fatal"/>
    <n v="20"/>
    <x v="1"/>
  </r>
  <r>
    <s v="CASE_0020"/>
    <x v="3"/>
    <x v="4"/>
    <x v="1"/>
    <d v="2024-10-22T00:00:00"/>
    <d v="2024-10-31T00:00:00"/>
    <s v="Recovered"/>
    <n v="9"/>
    <x v="0"/>
  </r>
  <r>
    <s v="CASE_0021"/>
    <x v="1"/>
    <x v="2"/>
    <x v="0"/>
    <d v="2024-04-11T00:00:00"/>
    <d v="2024-04-23T00:00:00"/>
    <s v="Recovering"/>
    <n v="12"/>
    <x v="0"/>
  </r>
  <r>
    <s v="CASE_0022"/>
    <x v="0"/>
    <x v="1"/>
    <x v="0"/>
    <d v="2024-04-14T00:00:00"/>
    <d v="2024-04-30T00:00:00"/>
    <s v="Not Recovered"/>
    <n v="16"/>
    <x v="1"/>
  </r>
  <r>
    <s v="CASE_0023"/>
    <x v="3"/>
    <x v="0"/>
    <x v="0"/>
    <d v="2024-09-16T00:00:00"/>
    <d v="2024-10-02T00:00:00"/>
    <s v="Fatal"/>
    <n v="16"/>
    <x v="1"/>
  </r>
  <r>
    <s v="CASE_0024"/>
    <x v="2"/>
    <x v="5"/>
    <x v="0"/>
    <d v="2024-04-09T00:00:00"/>
    <d v="2024-04-14T00:00:00"/>
    <s v="Recovered"/>
    <n v="5"/>
    <x v="0"/>
  </r>
  <r>
    <s v="CASE_0025"/>
    <x v="0"/>
    <x v="2"/>
    <x v="0"/>
    <d v="2024-05-22T00:00:00"/>
    <d v="2024-06-15T00:00:00"/>
    <s v="Unknown"/>
    <n v="24"/>
    <x v="1"/>
  </r>
  <r>
    <s v="CASE_0026"/>
    <x v="0"/>
    <x v="5"/>
    <x v="1"/>
    <d v="2024-09-20T00:00:00"/>
    <d v="2024-10-15T00:00:00"/>
    <s v="Not Recovered"/>
    <n v="25"/>
    <x v="1"/>
  </r>
  <r>
    <s v="CASE_0027"/>
    <x v="0"/>
    <x v="5"/>
    <x v="0"/>
    <d v="2024-02-04T00:00:00"/>
    <d v="2024-02-16T00:00:00"/>
    <s v="Recovering"/>
    <n v="12"/>
    <x v="0"/>
  </r>
  <r>
    <s v="CASE_0028"/>
    <x v="1"/>
    <x v="4"/>
    <x v="0"/>
    <d v="2024-05-07T00:00:00"/>
    <d v="2024-05-12T00:00:00"/>
    <s v="Recovering"/>
    <n v="5"/>
    <x v="0"/>
  </r>
  <r>
    <s v="CASE_0029"/>
    <x v="3"/>
    <x v="4"/>
    <x v="0"/>
    <d v="2024-10-03T00:00:00"/>
    <d v="2024-10-28T00:00:00"/>
    <s v="Not Recovered"/>
    <n v="25"/>
    <x v="1"/>
  </r>
  <r>
    <s v="CASE_0030"/>
    <x v="1"/>
    <x v="0"/>
    <x v="1"/>
    <d v="2024-07-21T00:00:00"/>
    <d v="2024-08-13T00:00:00"/>
    <s v="Recovering"/>
    <n v="23"/>
    <x v="1"/>
  </r>
  <r>
    <s v="CASE_0031"/>
    <x v="3"/>
    <x v="1"/>
    <x v="0"/>
    <d v="2024-04-23T00:00:00"/>
    <d v="2024-04-28T00:00:00"/>
    <s v="Fatal"/>
    <n v="5"/>
    <x v="0"/>
  </r>
  <r>
    <s v="CASE_0032"/>
    <x v="1"/>
    <x v="5"/>
    <x v="0"/>
    <d v="2024-04-23T00:00:00"/>
    <d v="2024-05-16T00:00:00"/>
    <s v="Recovered"/>
    <n v="23"/>
    <x v="1"/>
  </r>
  <r>
    <s v="CASE_0033"/>
    <x v="1"/>
    <x v="2"/>
    <x v="0"/>
    <d v="2024-10-25T00:00:00"/>
    <d v="2024-11-06T00:00:00"/>
    <s v="Fatal"/>
    <n v="12"/>
    <x v="0"/>
  </r>
  <r>
    <s v="CASE_0034"/>
    <x v="2"/>
    <x v="3"/>
    <x v="0"/>
    <d v="2024-02-17T00:00:00"/>
    <d v="2024-02-25T00:00:00"/>
    <s v="Recovering"/>
    <n v="8"/>
    <x v="0"/>
  </r>
  <r>
    <s v="CASE_0035"/>
    <x v="1"/>
    <x v="5"/>
    <x v="0"/>
    <d v="2024-02-29T00:00:00"/>
    <d v="2024-03-14T00:00:00"/>
    <s v="Unknown"/>
    <n v="14"/>
    <x v="0"/>
  </r>
  <r>
    <s v="CASE_0036"/>
    <x v="4"/>
    <x v="5"/>
    <x v="1"/>
    <d v="2024-03-23T00:00:00"/>
    <d v="2024-04-08T00:00:00"/>
    <s v="Recovered"/>
    <n v="16"/>
    <x v="1"/>
  </r>
  <r>
    <s v="CASE_0037"/>
    <x v="2"/>
    <x v="0"/>
    <x v="1"/>
    <d v="2024-06-09T00:00:00"/>
    <d v="2024-07-01T00:00:00"/>
    <s v="Recovered"/>
    <n v="22"/>
    <x v="1"/>
  </r>
  <r>
    <s v="CASE_0038"/>
    <x v="1"/>
    <x v="1"/>
    <x v="0"/>
    <d v="2024-04-24T00:00:00"/>
    <d v="2024-05-11T00:00:00"/>
    <s v="Not Recovered"/>
    <n v="17"/>
    <x v="1"/>
  </r>
  <r>
    <s v="CASE_0039"/>
    <x v="0"/>
    <x v="3"/>
    <x v="0"/>
    <d v="2024-03-24T00:00:00"/>
    <d v="2024-04-09T00:00:00"/>
    <s v="Not Recovered"/>
    <n v="16"/>
    <x v="1"/>
  </r>
  <r>
    <s v="CASE_0040"/>
    <x v="4"/>
    <x v="4"/>
    <x v="1"/>
    <d v="2024-10-21T00:00:00"/>
    <d v="2024-11-02T00:00:00"/>
    <s v="Unknown"/>
    <n v="12"/>
    <x v="0"/>
  </r>
  <r>
    <s v="CASE_0041"/>
    <x v="4"/>
    <x v="4"/>
    <x v="0"/>
    <d v="2024-02-06T00:00:00"/>
    <d v="2024-02-22T00:00:00"/>
    <s v="Recovered"/>
    <n v="16"/>
    <x v="1"/>
  </r>
  <r>
    <s v="CASE_0042"/>
    <x v="4"/>
    <x v="2"/>
    <x v="0"/>
    <d v="2024-04-20T00:00:00"/>
    <d v="2024-05-06T00:00:00"/>
    <s v="Unknown"/>
    <n v="16"/>
    <x v="1"/>
  </r>
  <r>
    <s v="CASE_0043"/>
    <x v="2"/>
    <x v="3"/>
    <x v="0"/>
    <d v="2024-04-09T00:00:00"/>
    <d v="2024-04-22T00:00:00"/>
    <s v="Not Recovered"/>
    <n v="13"/>
    <x v="0"/>
  </r>
  <r>
    <s v="CASE_0044"/>
    <x v="1"/>
    <x v="4"/>
    <x v="0"/>
    <d v="2024-10-02T00:00:00"/>
    <d v="2024-10-27T00:00:00"/>
    <s v="Not Recovered"/>
    <n v="25"/>
    <x v="1"/>
  </r>
  <r>
    <s v="CASE_0045"/>
    <x v="1"/>
    <x v="2"/>
    <x v="0"/>
    <d v="2024-03-02T00:00:00"/>
    <d v="2024-03-12T00:00:00"/>
    <s v="Recovered"/>
    <n v="10"/>
    <x v="0"/>
  </r>
  <r>
    <s v="CASE_0046"/>
    <x v="0"/>
    <x v="1"/>
    <x v="0"/>
    <d v="2024-04-09T00:00:00"/>
    <d v="2024-04-26T00:00:00"/>
    <s v="Fatal"/>
    <n v="17"/>
    <x v="1"/>
  </r>
  <r>
    <s v="CASE_0047"/>
    <x v="0"/>
    <x v="2"/>
    <x v="0"/>
    <d v="2024-03-04T00:00:00"/>
    <d v="2024-03-14T00:00:00"/>
    <s v="Recovering"/>
    <n v="10"/>
    <x v="0"/>
  </r>
  <r>
    <s v="CASE_0048"/>
    <x v="4"/>
    <x v="4"/>
    <x v="0"/>
    <d v="2024-03-02T00:00:00"/>
    <d v="2024-03-17T00:00:00"/>
    <s v="Not Recovered"/>
    <n v="15"/>
    <x v="0"/>
  </r>
  <r>
    <s v="CASE_0049"/>
    <x v="0"/>
    <x v="0"/>
    <x v="0"/>
    <d v="2024-09-19T00:00:00"/>
    <d v="2024-10-12T00:00:00"/>
    <s v="Not Recovered"/>
    <n v="23"/>
    <x v="1"/>
  </r>
  <r>
    <s v="CASE_0050"/>
    <x v="2"/>
    <x v="0"/>
    <x v="0"/>
    <d v="2024-07-23T00:00:00"/>
    <d v="2024-08-14T00:00:00"/>
    <s v="Fatal"/>
    <n v="22"/>
    <x v="1"/>
  </r>
  <r>
    <s v="CASE_0051"/>
    <x v="1"/>
    <x v="0"/>
    <x v="0"/>
    <d v="2024-08-05T00:00:00"/>
    <d v="2024-08-16T00:00:00"/>
    <s v="Fatal"/>
    <n v="11"/>
    <x v="0"/>
  </r>
  <r>
    <s v="CASE_0052"/>
    <x v="4"/>
    <x v="4"/>
    <x v="0"/>
    <d v="2024-01-28T00:00:00"/>
    <d v="2024-02-09T00:00:00"/>
    <s v="Unknown"/>
    <n v="12"/>
    <x v="0"/>
  </r>
  <r>
    <s v="CASE_0053"/>
    <x v="0"/>
    <x v="0"/>
    <x v="1"/>
    <d v="2024-10-15T00:00:00"/>
    <d v="2024-10-31T00:00:00"/>
    <s v="Unknown"/>
    <n v="16"/>
    <x v="1"/>
  </r>
  <r>
    <s v="CASE_0054"/>
    <x v="2"/>
    <x v="3"/>
    <x v="1"/>
    <d v="2024-06-04T00:00:00"/>
    <d v="2024-06-28T00:00:00"/>
    <s v="Recovering"/>
    <n v="24"/>
    <x v="1"/>
  </r>
  <r>
    <s v="CASE_0055"/>
    <x v="2"/>
    <x v="1"/>
    <x v="0"/>
    <d v="2024-01-06T00:00:00"/>
    <d v="2024-01-19T00:00:00"/>
    <s v="Recovering"/>
    <n v="13"/>
    <x v="0"/>
  </r>
  <r>
    <s v="CASE_0056"/>
    <x v="0"/>
    <x v="2"/>
    <x v="0"/>
    <d v="2024-09-09T00:00:00"/>
    <d v="2024-09-21T00:00:00"/>
    <s v="Recovered"/>
    <n v="12"/>
    <x v="0"/>
  </r>
  <r>
    <s v="CASE_0057"/>
    <x v="1"/>
    <x v="2"/>
    <x v="1"/>
    <d v="2024-05-12T00:00:00"/>
    <d v="2024-06-05T00:00:00"/>
    <s v="Unknown"/>
    <n v="24"/>
    <x v="1"/>
  </r>
  <r>
    <s v="CASE_0058"/>
    <x v="0"/>
    <x v="4"/>
    <x v="0"/>
    <d v="2024-09-09T00:00:00"/>
    <d v="2024-09-24T00:00:00"/>
    <s v="Not Recovered"/>
    <n v="15"/>
    <x v="0"/>
  </r>
  <r>
    <s v="CASE_0059"/>
    <x v="4"/>
    <x v="0"/>
    <x v="0"/>
    <d v="2024-06-06T00:00:00"/>
    <d v="2024-06-17T00:00:00"/>
    <s v="Unknown"/>
    <n v="11"/>
    <x v="0"/>
  </r>
  <r>
    <s v="CASE_0060"/>
    <x v="0"/>
    <x v="0"/>
    <x v="1"/>
    <d v="2024-05-29T00:00:00"/>
    <d v="2024-06-02T00:00:00"/>
    <s v="Not Recovered"/>
    <n v="4"/>
    <x v="0"/>
  </r>
  <r>
    <s v="CASE_0061"/>
    <x v="2"/>
    <x v="5"/>
    <x v="0"/>
    <d v="2024-07-14T00:00:00"/>
    <d v="2024-07-23T00:00:00"/>
    <s v="Fatal"/>
    <n v="9"/>
    <x v="0"/>
  </r>
  <r>
    <s v="CASE_0062"/>
    <x v="0"/>
    <x v="1"/>
    <x v="0"/>
    <d v="2024-06-17T00:00:00"/>
    <d v="2024-07-05T00:00:00"/>
    <s v="Unknown"/>
    <n v="18"/>
    <x v="1"/>
  </r>
  <r>
    <s v="CASE_0063"/>
    <x v="1"/>
    <x v="3"/>
    <x v="0"/>
    <d v="2024-02-23T00:00:00"/>
    <d v="2024-03-07T00:00:00"/>
    <s v="Fatal"/>
    <n v="13"/>
    <x v="0"/>
  </r>
  <r>
    <s v="CASE_0064"/>
    <x v="3"/>
    <x v="2"/>
    <x v="0"/>
    <d v="2024-04-24T00:00:00"/>
    <d v="2024-05-12T00:00:00"/>
    <s v="Recovering"/>
    <n v="18"/>
    <x v="1"/>
  </r>
  <r>
    <s v="CASE_0065"/>
    <x v="0"/>
    <x v="5"/>
    <x v="0"/>
    <d v="2024-08-15T00:00:00"/>
    <d v="2024-08-31T00:00:00"/>
    <s v="Recovering"/>
    <n v="16"/>
    <x v="1"/>
  </r>
  <r>
    <s v="CASE_0066"/>
    <x v="1"/>
    <x v="5"/>
    <x v="0"/>
    <d v="2024-03-31T00:00:00"/>
    <d v="2024-04-15T00:00:00"/>
    <s v="Recovered"/>
    <n v="15"/>
    <x v="0"/>
  </r>
  <r>
    <s v="CASE_0067"/>
    <x v="1"/>
    <x v="4"/>
    <x v="0"/>
    <d v="2024-06-26T00:00:00"/>
    <d v="2024-07-02T00:00:00"/>
    <s v="Unknown"/>
    <n v="6"/>
    <x v="0"/>
  </r>
  <r>
    <s v="CASE_0068"/>
    <x v="2"/>
    <x v="2"/>
    <x v="0"/>
    <d v="2024-06-21T00:00:00"/>
    <d v="2024-06-24T00:00:00"/>
    <s v="Fatal"/>
    <n v="3"/>
    <x v="0"/>
  </r>
  <r>
    <s v="CASE_0069"/>
    <x v="1"/>
    <x v="4"/>
    <x v="1"/>
    <d v="2024-07-30T00:00:00"/>
    <d v="2024-08-12T00:00:00"/>
    <s v="Not Recovered"/>
    <n v="13"/>
    <x v="0"/>
  </r>
  <r>
    <s v="CASE_0070"/>
    <x v="1"/>
    <x v="3"/>
    <x v="1"/>
    <d v="2024-03-21T00:00:00"/>
    <d v="2024-03-25T00:00:00"/>
    <s v="Recovering"/>
    <n v="4"/>
    <x v="0"/>
  </r>
  <r>
    <s v="CASE_0071"/>
    <x v="1"/>
    <x v="5"/>
    <x v="0"/>
    <d v="2024-08-21T00:00:00"/>
    <d v="2024-09-15T00:00:00"/>
    <s v="Recovering"/>
    <n v="25"/>
    <x v="1"/>
  </r>
  <r>
    <s v="CASE_0072"/>
    <x v="1"/>
    <x v="5"/>
    <x v="0"/>
    <d v="2024-04-22T00:00:00"/>
    <d v="2024-05-12T00:00:00"/>
    <s v="Not Recovered"/>
    <n v="20"/>
    <x v="1"/>
  </r>
  <r>
    <s v="CASE_0073"/>
    <x v="4"/>
    <x v="1"/>
    <x v="0"/>
    <d v="2024-08-07T00:00:00"/>
    <d v="2024-08-29T00:00:00"/>
    <s v="Fatal"/>
    <n v="22"/>
    <x v="1"/>
  </r>
  <r>
    <s v="CASE_0074"/>
    <x v="4"/>
    <x v="3"/>
    <x v="1"/>
    <d v="2024-10-06T00:00:00"/>
    <d v="2024-10-27T00:00:00"/>
    <s v="Fatal"/>
    <n v="21"/>
    <x v="1"/>
  </r>
  <r>
    <s v="CASE_0075"/>
    <x v="2"/>
    <x v="5"/>
    <x v="0"/>
    <d v="2024-10-04T00:00:00"/>
    <d v="2024-10-15T00:00:00"/>
    <s v="Unknown"/>
    <n v="11"/>
    <x v="0"/>
  </r>
  <r>
    <s v="CASE_0076"/>
    <x v="0"/>
    <x v="3"/>
    <x v="0"/>
    <d v="2024-04-24T00:00:00"/>
    <d v="2024-05-13T00:00:00"/>
    <s v="Unknown"/>
    <n v="19"/>
    <x v="1"/>
  </r>
  <r>
    <s v="CASE_0077"/>
    <x v="1"/>
    <x v="2"/>
    <x v="0"/>
    <d v="2024-04-18T00:00:00"/>
    <d v="2024-05-11T00:00:00"/>
    <s v="Recovered"/>
    <n v="23"/>
    <x v="1"/>
  </r>
  <r>
    <s v="CASE_0078"/>
    <x v="0"/>
    <x v="0"/>
    <x v="0"/>
    <d v="2024-09-29T00:00:00"/>
    <d v="2024-10-08T00:00:00"/>
    <s v="Recovering"/>
    <n v="9"/>
    <x v="0"/>
  </r>
  <r>
    <s v="CASE_0079"/>
    <x v="0"/>
    <x v="5"/>
    <x v="0"/>
    <d v="2024-08-21T00:00:00"/>
    <d v="2024-09-01T00:00:00"/>
    <s v="Unknown"/>
    <n v="11"/>
    <x v="0"/>
  </r>
  <r>
    <s v="CASE_0080"/>
    <x v="2"/>
    <x v="1"/>
    <x v="0"/>
    <d v="2024-05-22T00:00:00"/>
    <d v="2024-06-09T00:00:00"/>
    <s v="Fatal"/>
    <n v="18"/>
    <x v="1"/>
  </r>
  <r>
    <s v="CASE_0081"/>
    <x v="1"/>
    <x v="2"/>
    <x v="0"/>
    <d v="2024-07-02T00:00:00"/>
    <d v="2024-07-18T00:00:00"/>
    <s v="Not Recovered"/>
    <n v="16"/>
    <x v="1"/>
  </r>
  <r>
    <s v="CASE_0082"/>
    <x v="1"/>
    <x v="3"/>
    <x v="0"/>
    <d v="2024-04-18T00:00:00"/>
    <d v="2024-05-08T00:00:00"/>
    <s v="Fatal"/>
    <n v="20"/>
    <x v="1"/>
  </r>
  <r>
    <s v="CASE_0083"/>
    <x v="3"/>
    <x v="4"/>
    <x v="0"/>
    <d v="2024-02-12T00:00:00"/>
    <d v="2024-03-01T00:00:00"/>
    <s v="Recovering"/>
    <n v="18"/>
    <x v="1"/>
  </r>
  <r>
    <s v="CASE_0084"/>
    <x v="0"/>
    <x v="2"/>
    <x v="1"/>
    <d v="2024-04-16T00:00:00"/>
    <d v="2024-05-06T00:00:00"/>
    <s v="Fatal"/>
    <n v="20"/>
    <x v="1"/>
  </r>
  <r>
    <s v="CASE_0085"/>
    <x v="0"/>
    <x v="5"/>
    <x v="0"/>
    <d v="2024-04-12T00:00:00"/>
    <d v="2024-04-27T00:00:00"/>
    <s v="Recovered"/>
    <n v="15"/>
    <x v="0"/>
  </r>
  <r>
    <s v="CASE_0086"/>
    <x v="4"/>
    <x v="3"/>
    <x v="0"/>
    <d v="2024-07-20T00:00:00"/>
    <d v="2024-08-07T00:00:00"/>
    <s v="Recovering"/>
    <n v="18"/>
    <x v="1"/>
  </r>
  <r>
    <s v="CASE_0087"/>
    <x v="3"/>
    <x v="0"/>
    <x v="0"/>
    <d v="2024-03-03T00:00:00"/>
    <d v="2024-03-10T00:00:00"/>
    <s v="Not Recovered"/>
    <n v="7"/>
    <x v="0"/>
  </r>
  <r>
    <s v="CASE_0088"/>
    <x v="4"/>
    <x v="2"/>
    <x v="0"/>
    <d v="2024-10-09T00:00:00"/>
    <d v="2024-10-28T00:00:00"/>
    <s v="Recovered"/>
    <n v="19"/>
    <x v="1"/>
  </r>
  <r>
    <s v="CASE_0089"/>
    <x v="4"/>
    <x v="5"/>
    <x v="0"/>
    <d v="2024-01-06T00:00:00"/>
    <d v="2024-01-18T00:00:00"/>
    <s v="Recovering"/>
    <n v="12"/>
    <x v="0"/>
  </r>
  <r>
    <s v="CASE_0090"/>
    <x v="4"/>
    <x v="1"/>
    <x v="0"/>
    <d v="2024-05-02T00:00:00"/>
    <d v="2024-05-27T00:00:00"/>
    <s v="Not Recovered"/>
    <n v="25"/>
    <x v="1"/>
  </r>
  <r>
    <s v="CASE_0091"/>
    <x v="2"/>
    <x v="4"/>
    <x v="1"/>
    <d v="2024-09-17T00:00:00"/>
    <d v="2024-09-20T00:00:00"/>
    <s v="Recovered"/>
    <n v="3"/>
    <x v="0"/>
  </r>
  <r>
    <s v="CASE_0092"/>
    <x v="2"/>
    <x v="3"/>
    <x v="1"/>
    <d v="2024-06-03T00:00:00"/>
    <d v="2024-06-09T00:00:00"/>
    <s v="Recovered"/>
    <n v="6"/>
    <x v="0"/>
  </r>
  <r>
    <s v="CASE_0093"/>
    <x v="4"/>
    <x v="2"/>
    <x v="0"/>
    <d v="2024-02-05T00:00:00"/>
    <d v="2024-03-01T00:00:00"/>
    <s v="Recovering"/>
    <n v="25"/>
    <x v="1"/>
  </r>
  <r>
    <s v="CASE_0094"/>
    <x v="3"/>
    <x v="2"/>
    <x v="1"/>
    <d v="2024-04-10T00:00:00"/>
    <d v="2024-05-04T00:00:00"/>
    <s v="Unknown"/>
    <n v="24"/>
    <x v="1"/>
  </r>
  <r>
    <s v="CASE_0095"/>
    <x v="0"/>
    <x v="0"/>
    <x v="0"/>
    <d v="2024-07-28T00:00:00"/>
    <d v="2024-08-13T00:00:00"/>
    <s v="Recovered"/>
    <n v="16"/>
    <x v="1"/>
  </r>
  <r>
    <s v="CASE_0096"/>
    <x v="3"/>
    <x v="0"/>
    <x v="0"/>
    <d v="2024-01-08T00:00:00"/>
    <d v="2024-01-19T00:00:00"/>
    <s v="Recovered"/>
    <n v="11"/>
    <x v="0"/>
  </r>
  <r>
    <s v="CASE_0097"/>
    <x v="1"/>
    <x v="1"/>
    <x v="1"/>
    <d v="2024-07-14T00:00:00"/>
    <d v="2024-07-29T00:00:00"/>
    <s v="Not Recovered"/>
    <n v="15"/>
    <x v="0"/>
  </r>
  <r>
    <s v="CASE_0098"/>
    <x v="2"/>
    <x v="4"/>
    <x v="1"/>
    <d v="2024-06-07T00:00:00"/>
    <d v="2024-06-17T00:00:00"/>
    <s v="Fatal"/>
    <n v="10"/>
    <x v="0"/>
  </r>
  <r>
    <s v="CASE_0099"/>
    <x v="0"/>
    <x v="1"/>
    <x v="1"/>
    <d v="2024-04-25T00:00:00"/>
    <d v="2024-05-05T00:00:00"/>
    <s v="Recovering"/>
    <n v="10"/>
    <x v="0"/>
  </r>
  <r>
    <s v="CASE_0100"/>
    <x v="0"/>
    <x v="5"/>
    <x v="0"/>
    <d v="2024-06-10T00:00:00"/>
    <d v="2024-06-28T00:00:00"/>
    <s v="Recovering"/>
    <n v="18"/>
    <x v="1"/>
  </r>
  <r>
    <s v="CASE_0101"/>
    <x v="1"/>
    <x v="5"/>
    <x v="0"/>
    <d v="2024-01-07T00:00:00"/>
    <d v="2024-01-23T00:00:00"/>
    <s v="Unknown"/>
    <n v="16"/>
    <x v="1"/>
  </r>
  <r>
    <s v="CASE_0102"/>
    <x v="1"/>
    <x v="1"/>
    <x v="1"/>
    <d v="2024-01-21T00:00:00"/>
    <d v="2024-01-24T00:00:00"/>
    <s v="Unknown"/>
    <n v="3"/>
    <x v="0"/>
  </r>
  <r>
    <s v="CASE_0103"/>
    <x v="4"/>
    <x v="4"/>
    <x v="0"/>
    <d v="2024-03-17T00:00:00"/>
    <d v="2024-04-08T00:00:00"/>
    <s v="Recovering"/>
    <n v="22"/>
    <x v="1"/>
  </r>
  <r>
    <s v="CASE_0104"/>
    <x v="2"/>
    <x v="1"/>
    <x v="0"/>
    <d v="2024-05-13T00:00:00"/>
    <d v="2024-06-05T00:00:00"/>
    <s v="Unknown"/>
    <n v="23"/>
    <x v="1"/>
  </r>
  <r>
    <s v="CASE_0105"/>
    <x v="2"/>
    <x v="4"/>
    <x v="1"/>
    <d v="2024-02-22T00:00:00"/>
    <d v="2024-03-11T00:00:00"/>
    <s v="Not Recovered"/>
    <n v="18"/>
    <x v="1"/>
  </r>
  <r>
    <s v="CASE_0106"/>
    <x v="3"/>
    <x v="4"/>
    <x v="0"/>
    <d v="2024-08-04T00:00:00"/>
    <d v="2024-08-14T00:00:00"/>
    <s v="Recovering"/>
    <n v="10"/>
    <x v="0"/>
  </r>
  <r>
    <s v="CASE_0107"/>
    <x v="4"/>
    <x v="3"/>
    <x v="0"/>
    <d v="2024-07-05T00:00:00"/>
    <d v="2024-07-20T00:00:00"/>
    <s v="Unknown"/>
    <n v="15"/>
    <x v="0"/>
  </r>
  <r>
    <s v="CASE_0108"/>
    <x v="4"/>
    <x v="4"/>
    <x v="0"/>
    <d v="2024-01-29T00:00:00"/>
    <d v="2024-02-19T00:00:00"/>
    <s v="Recovering"/>
    <n v="21"/>
    <x v="1"/>
  </r>
  <r>
    <s v="CASE_0109"/>
    <x v="4"/>
    <x v="0"/>
    <x v="1"/>
    <d v="2024-07-06T00:00:00"/>
    <d v="2024-07-10T00:00:00"/>
    <s v="Fatal"/>
    <n v="4"/>
    <x v="0"/>
  </r>
  <r>
    <s v="CASE_0110"/>
    <x v="4"/>
    <x v="4"/>
    <x v="1"/>
    <d v="2024-10-11T00:00:00"/>
    <d v="2024-10-18T00:00:00"/>
    <s v="Recovered"/>
    <n v="7"/>
    <x v="0"/>
  </r>
  <r>
    <s v="CASE_0111"/>
    <x v="2"/>
    <x v="4"/>
    <x v="1"/>
    <d v="2024-05-04T00:00:00"/>
    <d v="2024-05-16T00:00:00"/>
    <s v="Recovering"/>
    <n v="12"/>
    <x v="0"/>
  </r>
  <r>
    <s v="CASE_0112"/>
    <x v="2"/>
    <x v="4"/>
    <x v="0"/>
    <d v="2024-02-09T00:00:00"/>
    <d v="2024-02-19T00:00:00"/>
    <s v="Recovered"/>
    <n v="10"/>
    <x v="0"/>
  </r>
  <r>
    <s v="CASE_0113"/>
    <x v="4"/>
    <x v="5"/>
    <x v="0"/>
    <d v="2024-08-16T00:00:00"/>
    <d v="2024-08-21T00:00:00"/>
    <s v="Unknown"/>
    <n v="5"/>
    <x v="0"/>
  </r>
  <r>
    <s v="CASE_0114"/>
    <x v="3"/>
    <x v="0"/>
    <x v="1"/>
    <d v="2024-05-02T00:00:00"/>
    <d v="2024-05-08T00:00:00"/>
    <s v="Recovered"/>
    <n v="6"/>
    <x v="0"/>
  </r>
  <r>
    <s v="CASE_0115"/>
    <x v="0"/>
    <x v="0"/>
    <x v="1"/>
    <d v="2024-03-16T00:00:00"/>
    <d v="2024-04-08T00:00:00"/>
    <s v="Recovering"/>
    <n v="23"/>
    <x v="1"/>
  </r>
  <r>
    <s v="CASE_0116"/>
    <x v="0"/>
    <x v="1"/>
    <x v="1"/>
    <d v="2024-05-10T00:00:00"/>
    <d v="2024-05-26T00:00:00"/>
    <s v="Fatal"/>
    <n v="16"/>
    <x v="1"/>
  </r>
  <r>
    <s v="CASE_0117"/>
    <x v="3"/>
    <x v="3"/>
    <x v="1"/>
    <d v="2024-07-09T00:00:00"/>
    <d v="2024-07-27T00:00:00"/>
    <s v="Unknown"/>
    <n v="18"/>
    <x v="1"/>
  </r>
  <r>
    <s v="CASE_0118"/>
    <x v="4"/>
    <x v="4"/>
    <x v="0"/>
    <d v="2024-07-24T00:00:00"/>
    <d v="2024-08-03T00:00:00"/>
    <s v="Recovering"/>
    <n v="10"/>
    <x v="0"/>
  </r>
  <r>
    <s v="CASE_0119"/>
    <x v="2"/>
    <x v="2"/>
    <x v="1"/>
    <d v="2024-09-21T00:00:00"/>
    <d v="2024-09-25T00:00:00"/>
    <s v="Unknown"/>
    <n v="4"/>
    <x v="0"/>
  </r>
  <r>
    <s v="CASE_0120"/>
    <x v="0"/>
    <x v="3"/>
    <x v="1"/>
    <d v="2024-08-30T00:00:00"/>
    <d v="2024-09-08T00:00:00"/>
    <s v="Not Recovered"/>
    <n v="9"/>
    <x v="0"/>
  </r>
  <r>
    <s v="CASE_0121"/>
    <x v="1"/>
    <x v="3"/>
    <x v="1"/>
    <d v="2024-08-09T00:00:00"/>
    <d v="2024-08-27T00:00:00"/>
    <s v="Recovered"/>
    <n v="18"/>
    <x v="1"/>
  </r>
  <r>
    <s v="CASE_0122"/>
    <x v="1"/>
    <x v="0"/>
    <x v="0"/>
    <d v="2024-06-13T00:00:00"/>
    <d v="2024-06-21T00:00:00"/>
    <s v="Not Recovered"/>
    <n v="8"/>
    <x v="0"/>
  </r>
  <r>
    <s v="CASE_0123"/>
    <x v="3"/>
    <x v="3"/>
    <x v="0"/>
    <d v="2024-03-31T00:00:00"/>
    <d v="2024-04-17T00:00:00"/>
    <s v="Recovering"/>
    <n v="17"/>
    <x v="1"/>
  </r>
  <r>
    <s v="CASE_0124"/>
    <x v="4"/>
    <x v="4"/>
    <x v="0"/>
    <d v="2024-10-16T00:00:00"/>
    <d v="2024-10-27T00:00:00"/>
    <s v="Fatal"/>
    <n v="11"/>
    <x v="0"/>
  </r>
  <r>
    <s v="CASE_0125"/>
    <x v="0"/>
    <x v="4"/>
    <x v="1"/>
    <d v="2024-05-07T00:00:00"/>
    <d v="2024-05-30T00:00:00"/>
    <s v="Unknown"/>
    <n v="23"/>
    <x v="1"/>
  </r>
  <r>
    <s v="CASE_0126"/>
    <x v="4"/>
    <x v="5"/>
    <x v="0"/>
    <d v="2024-06-27T00:00:00"/>
    <d v="2024-07-02T00:00:00"/>
    <s v="Recovered"/>
    <n v="5"/>
    <x v="0"/>
  </r>
  <r>
    <s v="CASE_0127"/>
    <x v="0"/>
    <x v="4"/>
    <x v="0"/>
    <d v="2024-01-13T00:00:00"/>
    <d v="2024-01-26T00:00:00"/>
    <s v="Unknown"/>
    <n v="13"/>
    <x v="0"/>
  </r>
  <r>
    <s v="CASE_0128"/>
    <x v="3"/>
    <x v="4"/>
    <x v="1"/>
    <d v="2024-07-03T00:00:00"/>
    <d v="2024-07-19T00:00:00"/>
    <s v="Recovering"/>
    <n v="16"/>
    <x v="1"/>
  </r>
  <r>
    <s v="CASE_0129"/>
    <x v="3"/>
    <x v="0"/>
    <x v="0"/>
    <d v="2024-04-29T00:00:00"/>
    <d v="2024-05-17T00:00:00"/>
    <s v="Unknown"/>
    <n v="18"/>
    <x v="1"/>
  </r>
  <r>
    <s v="CASE_0130"/>
    <x v="1"/>
    <x v="4"/>
    <x v="0"/>
    <d v="2024-10-02T00:00:00"/>
    <d v="2024-10-25T00:00:00"/>
    <s v="Recovered"/>
    <n v="23"/>
    <x v="1"/>
  </r>
  <r>
    <s v="CASE_0131"/>
    <x v="4"/>
    <x v="5"/>
    <x v="0"/>
    <d v="2024-06-28T00:00:00"/>
    <d v="2024-07-01T00:00:00"/>
    <s v="Recovering"/>
    <n v="3"/>
    <x v="0"/>
  </r>
  <r>
    <s v="CASE_0132"/>
    <x v="1"/>
    <x v="2"/>
    <x v="0"/>
    <d v="2024-01-12T00:00:00"/>
    <d v="2024-01-16T00:00:00"/>
    <s v="Unknown"/>
    <n v="4"/>
    <x v="0"/>
  </r>
  <r>
    <s v="CASE_0133"/>
    <x v="4"/>
    <x v="0"/>
    <x v="0"/>
    <d v="2024-02-18T00:00:00"/>
    <d v="2024-02-24T00:00:00"/>
    <s v="Fatal"/>
    <n v="6"/>
    <x v="0"/>
  </r>
  <r>
    <s v="CASE_0134"/>
    <x v="1"/>
    <x v="2"/>
    <x v="0"/>
    <d v="2024-01-30T00:00:00"/>
    <d v="2024-02-10T00:00:00"/>
    <s v="Recovering"/>
    <n v="11"/>
    <x v="0"/>
  </r>
  <r>
    <s v="CASE_0135"/>
    <x v="2"/>
    <x v="0"/>
    <x v="0"/>
    <d v="2024-08-21T00:00:00"/>
    <d v="2024-08-25T00:00:00"/>
    <s v="Recovering"/>
    <n v="4"/>
    <x v="0"/>
  </r>
  <r>
    <s v="CASE_0136"/>
    <x v="2"/>
    <x v="1"/>
    <x v="1"/>
    <d v="2024-05-15T00:00:00"/>
    <d v="2024-05-29T00:00:00"/>
    <s v="Fatal"/>
    <n v="14"/>
    <x v="0"/>
  </r>
  <r>
    <s v="CASE_0137"/>
    <x v="2"/>
    <x v="3"/>
    <x v="0"/>
    <d v="2024-03-20T00:00:00"/>
    <d v="2024-03-26T00:00:00"/>
    <s v="Not Recovered"/>
    <n v="6"/>
    <x v="0"/>
  </r>
  <r>
    <s v="CASE_0138"/>
    <x v="2"/>
    <x v="1"/>
    <x v="1"/>
    <d v="2024-03-10T00:00:00"/>
    <d v="2024-03-16T00:00:00"/>
    <s v="Recovered"/>
    <n v="6"/>
    <x v="0"/>
  </r>
  <r>
    <s v="CASE_0139"/>
    <x v="0"/>
    <x v="4"/>
    <x v="0"/>
    <d v="2024-04-11T00:00:00"/>
    <d v="2024-04-14T00:00:00"/>
    <s v="Not Recovered"/>
    <n v="3"/>
    <x v="0"/>
  </r>
  <r>
    <s v="CASE_0140"/>
    <x v="2"/>
    <x v="2"/>
    <x v="1"/>
    <d v="2024-09-26T00:00:00"/>
    <d v="2024-10-12T00:00:00"/>
    <s v="Unknown"/>
    <n v="16"/>
    <x v="1"/>
  </r>
  <r>
    <s v="CASE_0141"/>
    <x v="3"/>
    <x v="4"/>
    <x v="1"/>
    <d v="2024-07-08T00:00:00"/>
    <d v="2024-07-17T00:00:00"/>
    <s v="Fatal"/>
    <n v="9"/>
    <x v="0"/>
  </r>
  <r>
    <s v="CASE_0142"/>
    <x v="3"/>
    <x v="3"/>
    <x v="1"/>
    <d v="2024-08-27T00:00:00"/>
    <d v="2024-09-05T00:00:00"/>
    <s v="Not Recovered"/>
    <n v="9"/>
    <x v="0"/>
  </r>
  <r>
    <s v="CASE_0143"/>
    <x v="0"/>
    <x v="0"/>
    <x v="0"/>
    <d v="2024-07-10T00:00:00"/>
    <d v="2024-07-23T00:00:00"/>
    <s v="Recovering"/>
    <n v="13"/>
    <x v="0"/>
  </r>
  <r>
    <s v="CASE_0144"/>
    <x v="2"/>
    <x v="3"/>
    <x v="1"/>
    <d v="2024-10-19T00:00:00"/>
    <d v="2024-11-09T00:00:00"/>
    <s v="Unknown"/>
    <n v="21"/>
    <x v="1"/>
  </r>
  <r>
    <s v="CASE_0145"/>
    <x v="2"/>
    <x v="5"/>
    <x v="1"/>
    <d v="2024-10-16T00:00:00"/>
    <d v="2024-10-24T00:00:00"/>
    <s v="Unknown"/>
    <n v="8"/>
    <x v="0"/>
  </r>
  <r>
    <s v="CASE_0146"/>
    <x v="2"/>
    <x v="3"/>
    <x v="1"/>
    <d v="2024-05-26T00:00:00"/>
    <d v="2024-06-03T00:00:00"/>
    <s v="Not Recovered"/>
    <n v="8"/>
    <x v="0"/>
  </r>
  <r>
    <s v="CASE_0147"/>
    <x v="1"/>
    <x v="5"/>
    <x v="0"/>
    <d v="2024-08-14T00:00:00"/>
    <d v="2024-08-21T00:00:00"/>
    <s v="Not Recovered"/>
    <n v="7"/>
    <x v="0"/>
  </r>
  <r>
    <s v="CASE_0148"/>
    <x v="4"/>
    <x v="3"/>
    <x v="0"/>
    <d v="2024-04-02T00:00:00"/>
    <d v="2024-04-06T00:00:00"/>
    <s v="Fatal"/>
    <n v="4"/>
    <x v="0"/>
  </r>
  <r>
    <s v="CASE_0149"/>
    <x v="1"/>
    <x v="5"/>
    <x v="0"/>
    <d v="2024-04-27T00:00:00"/>
    <d v="2024-05-16T00:00:00"/>
    <s v="Recovered"/>
    <n v="19"/>
    <x v="1"/>
  </r>
  <r>
    <s v="CASE_0150"/>
    <x v="4"/>
    <x v="2"/>
    <x v="0"/>
    <d v="2024-01-21T00:00:00"/>
    <d v="2024-02-02T00:00:00"/>
    <s v="Not Recovered"/>
    <n v="1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4">
  <location ref="W6:X9" firstHeaderRow="1" firstDataRow="1" firstDataCol="1"/>
  <pivotFields count="9">
    <pivotField dataField="1" showAll="0"/>
    <pivotField showAll="0"/>
    <pivotField showAll="0"/>
    <pivotField showAll="0"/>
    <pivotField numFmtId="164" showAll="0"/>
    <pivotField numFmtId="164"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Case_ID" fld="0" subtotal="count" showDataAs="percentOfTotal" baseField="8" baseItem="0" numFmtId="10"/>
  </dataFields>
  <formats count="9">
    <format dxfId="10">
      <pivotArea dataOnly="0" labelOnly="1" outline="0" axis="axisValues" fieldPosition="0"/>
    </format>
    <format dxfId="9">
      <pivotArea dataOnly="0" labelOnly="1" outline="0" axis="axisValues" fieldPosition="0"/>
    </format>
    <format dxfId="8">
      <pivotArea dataOnly="0" labelOnly="1" outline="0" axis="axisValues" fieldPosition="0"/>
    </format>
    <format dxfId="7">
      <pivotArea dataOnly="0" labelOnly="1" outline="0" axis="axisValues" fieldPosition="0"/>
    </format>
    <format dxfId="6">
      <pivotArea dataOnly="0" labelOnly="1" outline="0" axis="axisValues" fieldPosition="0"/>
    </format>
    <format dxfId="5">
      <pivotArea dataOnly="0" labelOnly="1" outline="0" axis="axisValues" fieldPosition="0"/>
    </format>
    <format dxfId="4">
      <pivotArea dataOnly="0" labelOnly="1" outline="0" axis="axisValues" fieldPosition="0"/>
    </format>
    <format dxfId="3">
      <pivotArea dataOnly="0" labelOnly="1" outline="0" axis="axisValues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3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3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0">
  <location ref="Q6:R13" firstHeaderRow="1" firstDataRow="1" firstDataCol="1"/>
  <pivotFields count="9">
    <pivotField showAll="0"/>
    <pivotField showAll="0"/>
    <pivotField axis="axisRow" showAll="0">
      <items count="7">
        <item x="1"/>
        <item x="0"/>
        <item x="2"/>
        <item x="4"/>
        <item x="5"/>
        <item x="3"/>
        <item t="default"/>
      </items>
    </pivotField>
    <pivotField showAll="0"/>
    <pivotField numFmtId="164" showAll="0"/>
    <pivotField numFmtId="164" showAll="0"/>
    <pivotField showAll="0"/>
    <pivotField dataField="1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Processing_Time" fld="7" subtotal="average" baseField="2" baseItem="0"/>
  </dataFields>
  <formats count="8">
    <format dxfId="18">
      <pivotArea dataOnly="0" labelOnly="1" outline="0" axis="axisValues" fieldPosition="0"/>
    </format>
    <format dxfId="17">
      <pivotArea dataOnly="0" labelOnly="1" outline="0" axis="axisValues" fieldPosition="0"/>
    </format>
    <format dxfId="16">
      <pivotArea dataOnly="0" labelOnly="1" outline="0" axis="axisValues" fieldPosition="0"/>
    </format>
    <format dxfId="15">
      <pivotArea dataOnly="0" labelOnly="1" outline="0" axis="axisValues" fieldPosition="0"/>
    </format>
    <format dxfId="14">
      <pivotArea dataOnly="0" labelOnly="1" outline="0" axis="axisValues" fieldPosition="0"/>
    </format>
    <format dxfId="13">
      <pivotArea dataOnly="0" labelOnly="1" outline="0" axis="axisValues" fieldPosition="0"/>
    </format>
    <format dxfId="12">
      <pivotArea dataOnly="0" labelOnly="1" outline="0" axis="axisValues" fieldPosition="0"/>
    </format>
    <format dxfId="11">
      <pivotArea dataOnly="0" labelOnly="1" outline="0" axis="axisValues" fieldPosition="0"/>
    </format>
  </formats>
  <chartFormats count="4">
    <chartFormat chart="2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9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9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8">
  <location ref="K6:L9" firstHeaderRow="1" firstDataRow="1" firstDataCol="1"/>
  <pivotFields count="9"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numFmtId="164" showAll="0"/>
    <pivotField numFmtId="164"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Case_ID" fld="0" subtotal="count" showDataAs="percentOfTotal" baseField="3" baseItem="0" numFmtId="10"/>
  </dataFields>
  <chartFormats count="4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5">
  <location ref="D6:E13" firstHeaderRow="1" firstDataRow="1" firstDataCol="1"/>
  <pivotFields count="9">
    <pivotField dataField="1" showAll="0"/>
    <pivotField showAll="0"/>
    <pivotField axis="axisRow" showAll="0">
      <items count="7">
        <item x="1"/>
        <item x="0"/>
        <item x="2"/>
        <item x="4"/>
        <item x="5"/>
        <item x="3"/>
        <item t="default"/>
      </items>
    </pivotField>
    <pivotField showAll="0"/>
    <pivotField numFmtId="164" showAll="0"/>
    <pivotField numFmtId="164"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ase_ID" fld="0" subtotal="count" baseField="0" baseItem="0"/>
  </dataFields>
  <chartFormats count="4"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8">
  <location ref="AK6:AN13" firstHeaderRow="1" firstDataRow="2" firstDataCol="1"/>
  <pivotFields count="9">
    <pivotField dataField="1" showAll="0"/>
    <pivotField axis="axisRow" showAll="0">
      <items count="6">
        <item x="0"/>
        <item x="1"/>
        <item x="4"/>
        <item x="2"/>
        <item x="3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numFmtId="164" showAll="0"/>
    <pivotField numFmtId="164"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Case_ID" fld="0" subtotal="count" showDataAs="percentOfRow" baseField="0" baseItem="0" numFmtId="10"/>
  </dataFields>
  <formats count="9">
    <format dxfId="27">
      <pivotArea dataOnly="0" labelOnly="1" outline="0" axis="axisValues" fieldPosition="0"/>
    </format>
    <format dxfId="26">
      <pivotArea dataOnly="0" labelOnly="1" outline="0" axis="axisValues" fieldPosition="0"/>
    </format>
    <format dxfId="25">
      <pivotArea dataOnly="0" labelOnly="1" outline="0" axis="axisValues" fieldPosition="0"/>
    </format>
    <format dxfId="24">
      <pivotArea dataOnly="0" labelOnly="1" outline="0" axis="axisValues" fieldPosition="0"/>
    </format>
    <format dxfId="23">
      <pivotArea dataOnly="0" labelOnly="1" outline="0" axis="axisValues" fieldPosition="0"/>
    </format>
    <format dxfId="22">
      <pivotArea dataOnly="0" labelOnly="1" outline="0" axis="axisValues" fieldPosition="0"/>
    </format>
    <format dxfId="21">
      <pivotArea dataOnly="0" labelOnly="1" outline="0" axis="axisValues" fieldPosition="0"/>
    </format>
    <format dxfId="20">
      <pivotArea dataOnly="0" labelOnly="1" outline="0" axis="axisValues" fieldPosition="0"/>
    </format>
    <format dxfId="19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37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7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C6:AC8" totalsRowShown="0">
  <autoFilter ref="AC6:AC8"/>
  <tableColumns count="1">
    <tableColumn id="1" name="KPI Formula">
      <calculatedColumnFormula>ROUND(AVERAGEIFS(Dataset!H:H, Dataset!D:D,"Non-Serious"), 2)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6:B12" totalsRowShown="0" headerRowDxfId="1">
  <autoFilter ref="B6:B12"/>
  <tableColumns count="1">
    <tableColumn id="1" name="KPI Formula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I6:I8" totalsRowShown="0" headerRowDxfId="0">
  <autoFilter ref="I6:I8"/>
  <tableColumns count="1">
    <tableColumn id="1" name="KPI Result">
      <calculatedColumnFormula>ROUND(COUNTIFS(Dataset!D:D,"Serious") / COUNTA(Dataset!D:D) * 100, 2)</calculatedColumnFormula>
    </tableColumn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O6:O7" totalsRowShown="0">
  <autoFilter ref="O6:O7"/>
  <tableColumns count="1">
    <tableColumn id="1" name="KPI Formula">
      <calculatedColumnFormula>ROUND(AVERAGE(Dataset!H:H), 2)</calculatedColumnFormula>
    </tableColumn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U6:U8" totalsRowShown="0">
  <autoFilter ref="U6:U8"/>
  <tableColumns count="1">
    <tableColumn id="1" name="KPI Formula">
      <calculatedColumnFormula>ROUND(COUNTIFS(Dataset!I:I,"Yes") / COUNTA(Dataset!I:I) * 100, 2)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12" Type="http://schemas.openxmlformats.org/officeDocument/2006/relationships/table" Target="../tables/table5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11" Type="http://schemas.openxmlformats.org/officeDocument/2006/relationships/table" Target="../tables/table4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3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>
      <selection activeCell="D136" sqref="D136"/>
    </sheetView>
  </sheetViews>
  <sheetFormatPr defaultRowHeight="14.4" x14ac:dyDescent="0.3"/>
  <cols>
    <col min="1" max="1" width="10.109375" bestFit="1" customWidth="1"/>
    <col min="2" max="2" width="9.109375" bestFit="1" customWidth="1"/>
    <col min="3" max="3" width="12.88671875" bestFit="1" customWidth="1"/>
    <col min="4" max="4" width="11" bestFit="1" customWidth="1"/>
    <col min="5" max="6" width="18.109375" bestFit="1" customWidth="1"/>
    <col min="7" max="7" width="13.33203125" bestFit="1" customWidth="1"/>
    <col min="8" max="8" width="15.109375" bestFit="1" customWidth="1"/>
    <col min="9" max="9" width="18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159</v>
      </c>
      <c r="C2" t="s">
        <v>164</v>
      </c>
      <c r="D2" t="s">
        <v>170</v>
      </c>
      <c r="E2" s="2">
        <v>45510</v>
      </c>
      <c r="F2" s="2">
        <v>45522</v>
      </c>
      <c r="G2" t="s">
        <v>172</v>
      </c>
      <c r="H2">
        <v>12</v>
      </c>
      <c r="I2" t="s">
        <v>177</v>
      </c>
    </row>
    <row r="3" spans="1:9" x14ac:dyDescent="0.3">
      <c r="A3" t="s">
        <v>10</v>
      </c>
      <c r="B3" t="s">
        <v>159</v>
      </c>
      <c r="C3" t="s">
        <v>164</v>
      </c>
      <c r="D3" t="s">
        <v>171</v>
      </c>
      <c r="E3" s="2">
        <v>45318</v>
      </c>
      <c r="F3" s="2">
        <v>45323</v>
      </c>
      <c r="G3" t="s">
        <v>173</v>
      </c>
      <c r="H3">
        <v>5</v>
      </c>
      <c r="I3" t="s">
        <v>177</v>
      </c>
    </row>
    <row r="4" spans="1:9" x14ac:dyDescent="0.3">
      <c r="A4" t="s">
        <v>11</v>
      </c>
      <c r="B4" t="s">
        <v>160</v>
      </c>
      <c r="C4" t="s">
        <v>165</v>
      </c>
      <c r="D4" t="s">
        <v>170</v>
      </c>
      <c r="E4" s="2">
        <v>45582</v>
      </c>
      <c r="F4" s="2">
        <v>45593</v>
      </c>
      <c r="G4" t="s">
        <v>174</v>
      </c>
      <c r="H4">
        <v>11</v>
      </c>
      <c r="I4" t="s">
        <v>177</v>
      </c>
    </row>
    <row r="5" spans="1:9" x14ac:dyDescent="0.3">
      <c r="A5" t="s">
        <v>12</v>
      </c>
      <c r="B5" t="s">
        <v>161</v>
      </c>
      <c r="C5" t="s">
        <v>165</v>
      </c>
      <c r="D5" t="s">
        <v>170</v>
      </c>
      <c r="E5" s="2">
        <v>45388</v>
      </c>
      <c r="F5" s="2">
        <v>45412</v>
      </c>
      <c r="G5" t="s">
        <v>174</v>
      </c>
      <c r="H5">
        <v>24</v>
      </c>
      <c r="I5" t="s">
        <v>178</v>
      </c>
    </row>
    <row r="6" spans="1:9" x14ac:dyDescent="0.3">
      <c r="A6" t="s">
        <v>13</v>
      </c>
      <c r="B6" t="s">
        <v>159</v>
      </c>
      <c r="C6" t="s">
        <v>166</v>
      </c>
      <c r="D6" t="s">
        <v>171</v>
      </c>
      <c r="E6" s="2">
        <v>45448</v>
      </c>
      <c r="F6" s="2">
        <v>45463</v>
      </c>
      <c r="G6" t="s">
        <v>173</v>
      </c>
      <c r="H6">
        <v>15</v>
      </c>
      <c r="I6" t="s">
        <v>177</v>
      </c>
    </row>
    <row r="7" spans="1:9" x14ac:dyDescent="0.3">
      <c r="A7" t="s">
        <v>14</v>
      </c>
      <c r="B7" t="s">
        <v>161</v>
      </c>
      <c r="C7" t="s">
        <v>167</v>
      </c>
      <c r="D7" t="s">
        <v>170</v>
      </c>
      <c r="E7" s="2">
        <v>45379</v>
      </c>
      <c r="F7" s="2">
        <v>45404</v>
      </c>
      <c r="G7" t="s">
        <v>175</v>
      </c>
      <c r="H7">
        <v>25</v>
      </c>
      <c r="I7" t="s">
        <v>178</v>
      </c>
    </row>
    <row r="8" spans="1:9" x14ac:dyDescent="0.3">
      <c r="A8" t="s">
        <v>15</v>
      </c>
      <c r="B8" t="s">
        <v>162</v>
      </c>
      <c r="C8" t="s">
        <v>166</v>
      </c>
      <c r="D8" t="s">
        <v>170</v>
      </c>
      <c r="E8" s="2">
        <v>45384</v>
      </c>
      <c r="F8" s="2">
        <v>45387</v>
      </c>
      <c r="G8" t="s">
        <v>175</v>
      </c>
      <c r="H8">
        <v>3</v>
      </c>
      <c r="I8" t="s">
        <v>177</v>
      </c>
    </row>
    <row r="9" spans="1:9" x14ac:dyDescent="0.3">
      <c r="A9" t="s">
        <v>16</v>
      </c>
      <c r="B9" t="s">
        <v>163</v>
      </c>
      <c r="C9" t="s">
        <v>165</v>
      </c>
      <c r="D9" t="s">
        <v>170</v>
      </c>
      <c r="E9" s="2">
        <v>45440</v>
      </c>
      <c r="F9" s="2">
        <v>45455</v>
      </c>
      <c r="G9" t="s">
        <v>175</v>
      </c>
      <c r="H9">
        <v>15</v>
      </c>
      <c r="I9" t="s">
        <v>177</v>
      </c>
    </row>
    <row r="10" spans="1:9" x14ac:dyDescent="0.3">
      <c r="A10" t="s">
        <v>17</v>
      </c>
      <c r="B10" t="s">
        <v>162</v>
      </c>
      <c r="C10" t="s">
        <v>168</v>
      </c>
      <c r="D10" t="s">
        <v>170</v>
      </c>
      <c r="E10" s="2">
        <v>45341</v>
      </c>
      <c r="F10" s="2">
        <v>45350</v>
      </c>
      <c r="G10" t="s">
        <v>173</v>
      </c>
      <c r="H10">
        <v>9</v>
      </c>
      <c r="I10" t="s">
        <v>177</v>
      </c>
    </row>
    <row r="11" spans="1:9" x14ac:dyDescent="0.3">
      <c r="A11" t="s">
        <v>18</v>
      </c>
      <c r="B11" t="s">
        <v>162</v>
      </c>
      <c r="C11" t="s">
        <v>165</v>
      </c>
      <c r="D11" t="s">
        <v>170</v>
      </c>
      <c r="E11" s="2">
        <v>45375</v>
      </c>
      <c r="F11" s="2">
        <v>45399</v>
      </c>
      <c r="G11" t="s">
        <v>174</v>
      </c>
      <c r="H11">
        <v>24</v>
      </c>
      <c r="I11" t="s">
        <v>178</v>
      </c>
    </row>
    <row r="12" spans="1:9" x14ac:dyDescent="0.3">
      <c r="A12" t="s">
        <v>19</v>
      </c>
      <c r="B12" t="s">
        <v>160</v>
      </c>
      <c r="C12" t="s">
        <v>168</v>
      </c>
      <c r="D12" t="s">
        <v>171</v>
      </c>
      <c r="E12" s="2">
        <v>45513</v>
      </c>
      <c r="F12" s="2">
        <v>45531</v>
      </c>
      <c r="G12" t="s">
        <v>173</v>
      </c>
      <c r="H12">
        <v>18</v>
      </c>
      <c r="I12" t="s">
        <v>178</v>
      </c>
    </row>
    <row r="13" spans="1:9" x14ac:dyDescent="0.3">
      <c r="A13" t="s">
        <v>20</v>
      </c>
      <c r="B13" t="s">
        <v>163</v>
      </c>
      <c r="C13" t="s">
        <v>169</v>
      </c>
      <c r="D13" t="s">
        <v>170</v>
      </c>
      <c r="E13" s="2">
        <v>45554</v>
      </c>
      <c r="F13" s="2">
        <v>45562</v>
      </c>
      <c r="G13" t="s">
        <v>173</v>
      </c>
      <c r="H13">
        <v>8</v>
      </c>
      <c r="I13" t="s">
        <v>177</v>
      </c>
    </row>
    <row r="14" spans="1:9" x14ac:dyDescent="0.3">
      <c r="A14" t="s">
        <v>21</v>
      </c>
      <c r="B14" t="s">
        <v>162</v>
      </c>
      <c r="C14" t="s">
        <v>165</v>
      </c>
      <c r="D14" t="s">
        <v>171</v>
      </c>
      <c r="E14" s="2">
        <v>45339</v>
      </c>
      <c r="F14" s="2">
        <v>45343</v>
      </c>
      <c r="G14" t="s">
        <v>175</v>
      </c>
      <c r="H14">
        <v>4</v>
      </c>
      <c r="I14" t="s">
        <v>177</v>
      </c>
    </row>
    <row r="15" spans="1:9" x14ac:dyDescent="0.3">
      <c r="A15" t="s">
        <v>22</v>
      </c>
      <c r="B15" t="s">
        <v>162</v>
      </c>
      <c r="C15" t="s">
        <v>169</v>
      </c>
      <c r="D15" t="s">
        <v>171</v>
      </c>
      <c r="E15" s="2">
        <v>45585</v>
      </c>
      <c r="F15" s="2">
        <v>45594</v>
      </c>
      <c r="G15" t="s">
        <v>176</v>
      </c>
      <c r="H15">
        <v>9</v>
      </c>
      <c r="I15" t="s">
        <v>177</v>
      </c>
    </row>
    <row r="16" spans="1:9" x14ac:dyDescent="0.3">
      <c r="A16" t="s">
        <v>23</v>
      </c>
      <c r="B16" t="s">
        <v>163</v>
      </c>
      <c r="C16" t="s">
        <v>167</v>
      </c>
      <c r="D16" t="s">
        <v>171</v>
      </c>
      <c r="E16" s="2">
        <v>45402</v>
      </c>
      <c r="F16" s="2">
        <v>45427</v>
      </c>
      <c r="G16" t="s">
        <v>174</v>
      </c>
      <c r="H16">
        <v>25</v>
      </c>
      <c r="I16" t="s">
        <v>178</v>
      </c>
    </row>
    <row r="17" spans="1:9" x14ac:dyDescent="0.3">
      <c r="A17" t="s">
        <v>24</v>
      </c>
      <c r="B17" t="s">
        <v>163</v>
      </c>
      <c r="C17" t="s">
        <v>166</v>
      </c>
      <c r="D17" t="s">
        <v>171</v>
      </c>
      <c r="E17" s="2">
        <v>45327</v>
      </c>
      <c r="F17" s="2">
        <v>45340</v>
      </c>
      <c r="G17" t="s">
        <v>175</v>
      </c>
      <c r="H17">
        <v>13</v>
      </c>
      <c r="I17" t="s">
        <v>177</v>
      </c>
    </row>
    <row r="18" spans="1:9" x14ac:dyDescent="0.3">
      <c r="A18" t="s">
        <v>25</v>
      </c>
      <c r="B18" t="s">
        <v>162</v>
      </c>
      <c r="C18" t="s">
        <v>168</v>
      </c>
      <c r="D18" t="s">
        <v>170</v>
      </c>
      <c r="E18" s="2">
        <v>45316</v>
      </c>
      <c r="F18" s="2">
        <v>45340</v>
      </c>
      <c r="G18" t="s">
        <v>176</v>
      </c>
      <c r="H18">
        <v>24</v>
      </c>
      <c r="I18" t="s">
        <v>178</v>
      </c>
    </row>
    <row r="19" spans="1:9" x14ac:dyDescent="0.3">
      <c r="A19" t="s">
        <v>26</v>
      </c>
      <c r="B19" t="s">
        <v>163</v>
      </c>
      <c r="C19" t="s">
        <v>166</v>
      </c>
      <c r="D19" t="s">
        <v>170</v>
      </c>
      <c r="E19" s="2">
        <v>45477</v>
      </c>
      <c r="F19" s="2">
        <v>45496</v>
      </c>
      <c r="G19" t="s">
        <v>176</v>
      </c>
      <c r="H19">
        <v>19</v>
      </c>
      <c r="I19" t="s">
        <v>178</v>
      </c>
    </row>
    <row r="20" spans="1:9" x14ac:dyDescent="0.3">
      <c r="A20" t="s">
        <v>27</v>
      </c>
      <c r="B20" t="s">
        <v>162</v>
      </c>
      <c r="C20" t="s">
        <v>169</v>
      </c>
      <c r="D20" t="s">
        <v>170</v>
      </c>
      <c r="E20" s="2">
        <v>45568</v>
      </c>
      <c r="F20" s="2">
        <v>45588</v>
      </c>
      <c r="G20" t="s">
        <v>172</v>
      </c>
      <c r="H20">
        <v>20</v>
      </c>
      <c r="I20" t="s">
        <v>178</v>
      </c>
    </row>
    <row r="21" spans="1:9" x14ac:dyDescent="0.3">
      <c r="A21" t="s">
        <v>28</v>
      </c>
      <c r="B21" t="s">
        <v>162</v>
      </c>
      <c r="C21" t="s">
        <v>168</v>
      </c>
      <c r="D21" t="s">
        <v>171</v>
      </c>
      <c r="E21" s="2">
        <v>45587</v>
      </c>
      <c r="F21" s="2">
        <v>45596</v>
      </c>
      <c r="G21" t="s">
        <v>174</v>
      </c>
      <c r="H21">
        <v>9</v>
      </c>
      <c r="I21" t="s">
        <v>177</v>
      </c>
    </row>
    <row r="22" spans="1:9" x14ac:dyDescent="0.3">
      <c r="A22" t="s">
        <v>29</v>
      </c>
      <c r="B22" t="s">
        <v>160</v>
      </c>
      <c r="C22" t="s">
        <v>166</v>
      </c>
      <c r="D22" t="s">
        <v>170</v>
      </c>
      <c r="E22" s="2">
        <v>45393</v>
      </c>
      <c r="F22" s="2">
        <v>45405</v>
      </c>
      <c r="G22" t="s">
        <v>176</v>
      </c>
      <c r="H22">
        <v>12</v>
      </c>
      <c r="I22" t="s">
        <v>177</v>
      </c>
    </row>
    <row r="23" spans="1:9" x14ac:dyDescent="0.3">
      <c r="A23" t="s">
        <v>30</v>
      </c>
      <c r="B23" t="s">
        <v>159</v>
      </c>
      <c r="C23" t="s">
        <v>165</v>
      </c>
      <c r="D23" t="s">
        <v>170</v>
      </c>
      <c r="E23" s="2">
        <v>45396</v>
      </c>
      <c r="F23" s="2">
        <v>45412</v>
      </c>
      <c r="G23" t="s">
        <v>175</v>
      </c>
      <c r="H23">
        <v>16</v>
      </c>
      <c r="I23" t="s">
        <v>178</v>
      </c>
    </row>
    <row r="24" spans="1:9" x14ac:dyDescent="0.3">
      <c r="A24" t="s">
        <v>31</v>
      </c>
      <c r="B24" t="s">
        <v>162</v>
      </c>
      <c r="C24" t="s">
        <v>164</v>
      </c>
      <c r="D24" t="s">
        <v>170</v>
      </c>
      <c r="E24" s="2">
        <v>45551</v>
      </c>
      <c r="F24" s="2">
        <v>45567</v>
      </c>
      <c r="G24" t="s">
        <v>172</v>
      </c>
      <c r="H24">
        <v>16</v>
      </c>
      <c r="I24" t="s">
        <v>178</v>
      </c>
    </row>
    <row r="25" spans="1:9" x14ac:dyDescent="0.3">
      <c r="A25" t="s">
        <v>32</v>
      </c>
      <c r="B25" t="s">
        <v>161</v>
      </c>
      <c r="C25" t="s">
        <v>169</v>
      </c>
      <c r="D25" t="s">
        <v>170</v>
      </c>
      <c r="E25" s="2">
        <v>45391</v>
      </c>
      <c r="F25" s="2">
        <v>45396</v>
      </c>
      <c r="G25" t="s">
        <v>174</v>
      </c>
      <c r="H25">
        <v>5</v>
      </c>
      <c r="I25" t="s">
        <v>177</v>
      </c>
    </row>
    <row r="26" spans="1:9" x14ac:dyDescent="0.3">
      <c r="A26" t="s">
        <v>33</v>
      </c>
      <c r="B26" t="s">
        <v>159</v>
      </c>
      <c r="C26" t="s">
        <v>166</v>
      </c>
      <c r="D26" t="s">
        <v>170</v>
      </c>
      <c r="E26" s="2">
        <v>45434</v>
      </c>
      <c r="F26" s="2">
        <v>45458</v>
      </c>
      <c r="G26" t="s">
        <v>173</v>
      </c>
      <c r="H26">
        <v>24</v>
      </c>
      <c r="I26" t="s">
        <v>178</v>
      </c>
    </row>
    <row r="27" spans="1:9" x14ac:dyDescent="0.3">
      <c r="A27" t="s">
        <v>34</v>
      </c>
      <c r="B27" t="s">
        <v>159</v>
      </c>
      <c r="C27" t="s">
        <v>169</v>
      </c>
      <c r="D27" t="s">
        <v>171</v>
      </c>
      <c r="E27" s="2">
        <v>45555</v>
      </c>
      <c r="F27" s="2">
        <v>45580</v>
      </c>
      <c r="G27" t="s">
        <v>175</v>
      </c>
      <c r="H27">
        <v>25</v>
      </c>
      <c r="I27" t="s">
        <v>178</v>
      </c>
    </row>
    <row r="28" spans="1:9" x14ac:dyDescent="0.3">
      <c r="A28" t="s">
        <v>35</v>
      </c>
      <c r="B28" t="s">
        <v>159</v>
      </c>
      <c r="C28" t="s">
        <v>169</v>
      </c>
      <c r="D28" t="s">
        <v>170</v>
      </c>
      <c r="E28" s="2">
        <v>45326</v>
      </c>
      <c r="F28" s="2">
        <v>45338</v>
      </c>
      <c r="G28" t="s">
        <v>176</v>
      </c>
      <c r="H28">
        <v>12</v>
      </c>
      <c r="I28" t="s">
        <v>177</v>
      </c>
    </row>
    <row r="29" spans="1:9" x14ac:dyDescent="0.3">
      <c r="A29" t="s">
        <v>36</v>
      </c>
      <c r="B29" t="s">
        <v>160</v>
      </c>
      <c r="C29" t="s">
        <v>168</v>
      </c>
      <c r="D29" t="s">
        <v>170</v>
      </c>
      <c r="E29" s="2">
        <v>45419</v>
      </c>
      <c r="F29" s="2">
        <v>45424</v>
      </c>
      <c r="G29" t="s">
        <v>176</v>
      </c>
      <c r="H29">
        <v>5</v>
      </c>
      <c r="I29" t="s">
        <v>177</v>
      </c>
    </row>
    <row r="30" spans="1:9" x14ac:dyDescent="0.3">
      <c r="A30" t="s">
        <v>37</v>
      </c>
      <c r="B30" t="s">
        <v>162</v>
      </c>
      <c r="C30" t="s">
        <v>168</v>
      </c>
      <c r="D30" t="s">
        <v>170</v>
      </c>
      <c r="E30" s="2">
        <v>45568</v>
      </c>
      <c r="F30" s="2">
        <v>45593</v>
      </c>
      <c r="G30" t="s">
        <v>175</v>
      </c>
      <c r="H30">
        <v>25</v>
      </c>
      <c r="I30" t="s">
        <v>178</v>
      </c>
    </row>
    <row r="31" spans="1:9" x14ac:dyDescent="0.3">
      <c r="A31" t="s">
        <v>38</v>
      </c>
      <c r="B31" t="s">
        <v>160</v>
      </c>
      <c r="C31" t="s">
        <v>164</v>
      </c>
      <c r="D31" t="s">
        <v>171</v>
      </c>
      <c r="E31" s="2">
        <v>45494</v>
      </c>
      <c r="F31" s="2">
        <v>45517</v>
      </c>
      <c r="G31" t="s">
        <v>176</v>
      </c>
      <c r="H31">
        <v>23</v>
      </c>
      <c r="I31" t="s">
        <v>178</v>
      </c>
    </row>
    <row r="32" spans="1:9" x14ac:dyDescent="0.3">
      <c r="A32" t="s">
        <v>39</v>
      </c>
      <c r="B32" t="s">
        <v>162</v>
      </c>
      <c r="C32" t="s">
        <v>165</v>
      </c>
      <c r="D32" t="s">
        <v>170</v>
      </c>
      <c r="E32" s="2">
        <v>45405</v>
      </c>
      <c r="F32" s="2">
        <v>45410</v>
      </c>
      <c r="G32" t="s">
        <v>172</v>
      </c>
      <c r="H32">
        <v>5</v>
      </c>
      <c r="I32" t="s">
        <v>177</v>
      </c>
    </row>
    <row r="33" spans="1:9" x14ac:dyDescent="0.3">
      <c r="A33" t="s">
        <v>40</v>
      </c>
      <c r="B33" t="s">
        <v>160</v>
      </c>
      <c r="C33" t="s">
        <v>169</v>
      </c>
      <c r="D33" t="s">
        <v>170</v>
      </c>
      <c r="E33" s="2">
        <v>45405</v>
      </c>
      <c r="F33" s="2">
        <v>45428</v>
      </c>
      <c r="G33" t="s">
        <v>174</v>
      </c>
      <c r="H33">
        <v>23</v>
      </c>
      <c r="I33" t="s">
        <v>178</v>
      </c>
    </row>
    <row r="34" spans="1:9" x14ac:dyDescent="0.3">
      <c r="A34" t="s">
        <v>41</v>
      </c>
      <c r="B34" t="s">
        <v>160</v>
      </c>
      <c r="C34" t="s">
        <v>166</v>
      </c>
      <c r="D34" t="s">
        <v>170</v>
      </c>
      <c r="E34" s="2">
        <v>45590</v>
      </c>
      <c r="F34" s="2">
        <v>45602</v>
      </c>
      <c r="G34" t="s">
        <v>172</v>
      </c>
      <c r="H34">
        <v>12</v>
      </c>
      <c r="I34" t="s">
        <v>177</v>
      </c>
    </row>
    <row r="35" spans="1:9" x14ac:dyDescent="0.3">
      <c r="A35" t="s">
        <v>42</v>
      </c>
      <c r="B35" t="s">
        <v>161</v>
      </c>
      <c r="C35" t="s">
        <v>167</v>
      </c>
      <c r="D35" t="s">
        <v>170</v>
      </c>
      <c r="E35" s="2">
        <v>45339</v>
      </c>
      <c r="F35" s="2">
        <v>45347</v>
      </c>
      <c r="G35" t="s">
        <v>176</v>
      </c>
      <c r="H35">
        <v>8</v>
      </c>
      <c r="I35" t="s">
        <v>177</v>
      </c>
    </row>
    <row r="36" spans="1:9" x14ac:dyDescent="0.3">
      <c r="A36" t="s">
        <v>43</v>
      </c>
      <c r="B36" t="s">
        <v>160</v>
      </c>
      <c r="C36" t="s">
        <v>169</v>
      </c>
      <c r="D36" t="s">
        <v>170</v>
      </c>
      <c r="E36" s="2">
        <v>45351</v>
      </c>
      <c r="F36" s="2">
        <v>45365</v>
      </c>
      <c r="G36" t="s">
        <v>173</v>
      </c>
      <c r="H36">
        <v>14</v>
      </c>
      <c r="I36" t="s">
        <v>177</v>
      </c>
    </row>
    <row r="37" spans="1:9" x14ac:dyDescent="0.3">
      <c r="A37" t="s">
        <v>44</v>
      </c>
      <c r="B37" t="s">
        <v>163</v>
      </c>
      <c r="C37" t="s">
        <v>169</v>
      </c>
      <c r="D37" t="s">
        <v>171</v>
      </c>
      <c r="E37" s="2">
        <v>45374</v>
      </c>
      <c r="F37" s="2">
        <v>45390</v>
      </c>
      <c r="G37" t="s">
        <v>174</v>
      </c>
      <c r="H37">
        <v>16</v>
      </c>
      <c r="I37" t="s">
        <v>178</v>
      </c>
    </row>
    <row r="38" spans="1:9" x14ac:dyDescent="0.3">
      <c r="A38" t="s">
        <v>45</v>
      </c>
      <c r="B38" t="s">
        <v>161</v>
      </c>
      <c r="C38" t="s">
        <v>164</v>
      </c>
      <c r="D38" t="s">
        <v>171</v>
      </c>
      <c r="E38" s="2">
        <v>45452</v>
      </c>
      <c r="F38" s="2">
        <v>45474</v>
      </c>
      <c r="G38" t="s">
        <v>174</v>
      </c>
      <c r="H38">
        <v>22</v>
      </c>
      <c r="I38" t="s">
        <v>178</v>
      </c>
    </row>
    <row r="39" spans="1:9" x14ac:dyDescent="0.3">
      <c r="A39" t="s">
        <v>46</v>
      </c>
      <c r="B39" t="s">
        <v>160</v>
      </c>
      <c r="C39" t="s">
        <v>165</v>
      </c>
      <c r="D39" t="s">
        <v>170</v>
      </c>
      <c r="E39" s="2">
        <v>45406</v>
      </c>
      <c r="F39" s="2">
        <v>45423</v>
      </c>
      <c r="G39" t="s">
        <v>175</v>
      </c>
      <c r="H39">
        <v>17</v>
      </c>
      <c r="I39" t="s">
        <v>178</v>
      </c>
    </row>
    <row r="40" spans="1:9" x14ac:dyDescent="0.3">
      <c r="A40" t="s">
        <v>47</v>
      </c>
      <c r="B40" t="s">
        <v>159</v>
      </c>
      <c r="C40" t="s">
        <v>167</v>
      </c>
      <c r="D40" t="s">
        <v>170</v>
      </c>
      <c r="E40" s="2">
        <v>45375</v>
      </c>
      <c r="F40" s="2">
        <v>45391</v>
      </c>
      <c r="G40" t="s">
        <v>175</v>
      </c>
      <c r="H40">
        <v>16</v>
      </c>
      <c r="I40" t="s">
        <v>178</v>
      </c>
    </row>
    <row r="41" spans="1:9" x14ac:dyDescent="0.3">
      <c r="A41" t="s">
        <v>48</v>
      </c>
      <c r="B41" t="s">
        <v>163</v>
      </c>
      <c r="C41" t="s">
        <v>168</v>
      </c>
      <c r="D41" t="s">
        <v>171</v>
      </c>
      <c r="E41" s="2">
        <v>45586</v>
      </c>
      <c r="F41" s="2">
        <v>45598</v>
      </c>
      <c r="G41" t="s">
        <v>173</v>
      </c>
      <c r="H41">
        <v>12</v>
      </c>
      <c r="I41" t="s">
        <v>177</v>
      </c>
    </row>
    <row r="42" spans="1:9" x14ac:dyDescent="0.3">
      <c r="A42" t="s">
        <v>49</v>
      </c>
      <c r="B42" t="s">
        <v>163</v>
      </c>
      <c r="C42" t="s">
        <v>168</v>
      </c>
      <c r="D42" t="s">
        <v>170</v>
      </c>
      <c r="E42" s="2">
        <v>45328</v>
      </c>
      <c r="F42" s="2">
        <v>45344</v>
      </c>
      <c r="G42" t="s">
        <v>174</v>
      </c>
      <c r="H42">
        <v>16</v>
      </c>
      <c r="I42" t="s">
        <v>178</v>
      </c>
    </row>
    <row r="43" spans="1:9" x14ac:dyDescent="0.3">
      <c r="A43" t="s">
        <v>50</v>
      </c>
      <c r="B43" t="s">
        <v>163</v>
      </c>
      <c r="C43" t="s">
        <v>166</v>
      </c>
      <c r="D43" t="s">
        <v>170</v>
      </c>
      <c r="E43" s="2">
        <v>45402</v>
      </c>
      <c r="F43" s="2">
        <v>45418</v>
      </c>
      <c r="G43" t="s">
        <v>173</v>
      </c>
      <c r="H43">
        <v>16</v>
      </c>
      <c r="I43" t="s">
        <v>178</v>
      </c>
    </row>
    <row r="44" spans="1:9" x14ac:dyDescent="0.3">
      <c r="A44" t="s">
        <v>51</v>
      </c>
      <c r="B44" t="s">
        <v>161</v>
      </c>
      <c r="C44" t="s">
        <v>167</v>
      </c>
      <c r="D44" t="s">
        <v>170</v>
      </c>
      <c r="E44" s="2">
        <v>45391</v>
      </c>
      <c r="F44" s="2">
        <v>45404</v>
      </c>
      <c r="G44" t="s">
        <v>175</v>
      </c>
      <c r="H44">
        <v>13</v>
      </c>
      <c r="I44" t="s">
        <v>177</v>
      </c>
    </row>
    <row r="45" spans="1:9" x14ac:dyDescent="0.3">
      <c r="A45" t="s">
        <v>52</v>
      </c>
      <c r="B45" t="s">
        <v>160</v>
      </c>
      <c r="C45" t="s">
        <v>168</v>
      </c>
      <c r="D45" t="s">
        <v>170</v>
      </c>
      <c r="E45" s="2">
        <v>45567</v>
      </c>
      <c r="F45" s="2">
        <v>45592</v>
      </c>
      <c r="G45" t="s">
        <v>175</v>
      </c>
      <c r="H45">
        <v>25</v>
      </c>
      <c r="I45" t="s">
        <v>178</v>
      </c>
    </row>
    <row r="46" spans="1:9" x14ac:dyDescent="0.3">
      <c r="A46" t="s">
        <v>53</v>
      </c>
      <c r="B46" t="s">
        <v>160</v>
      </c>
      <c r="C46" t="s">
        <v>166</v>
      </c>
      <c r="D46" t="s">
        <v>170</v>
      </c>
      <c r="E46" s="2">
        <v>45353</v>
      </c>
      <c r="F46" s="2">
        <v>45363</v>
      </c>
      <c r="G46" t="s">
        <v>174</v>
      </c>
      <c r="H46">
        <v>10</v>
      </c>
      <c r="I46" t="s">
        <v>177</v>
      </c>
    </row>
    <row r="47" spans="1:9" x14ac:dyDescent="0.3">
      <c r="A47" t="s">
        <v>54</v>
      </c>
      <c r="B47" t="s">
        <v>159</v>
      </c>
      <c r="C47" t="s">
        <v>165</v>
      </c>
      <c r="D47" t="s">
        <v>170</v>
      </c>
      <c r="E47" s="2">
        <v>45391</v>
      </c>
      <c r="F47" s="2">
        <v>45408</v>
      </c>
      <c r="G47" t="s">
        <v>172</v>
      </c>
      <c r="H47">
        <v>17</v>
      </c>
      <c r="I47" t="s">
        <v>178</v>
      </c>
    </row>
    <row r="48" spans="1:9" x14ac:dyDescent="0.3">
      <c r="A48" t="s">
        <v>55</v>
      </c>
      <c r="B48" t="s">
        <v>159</v>
      </c>
      <c r="C48" t="s">
        <v>166</v>
      </c>
      <c r="D48" t="s">
        <v>170</v>
      </c>
      <c r="E48" s="2">
        <v>45355</v>
      </c>
      <c r="F48" s="2">
        <v>45365</v>
      </c>
      <c r="G48" t="s">
        <v>176</v>
      </c>
      <c r="H48">
        <v>10</v>
      </c>
      <c r="I48" t="s">
        <v>177</v>
      </c>
    </row>
    <row r="49" spans="1:9" x14ac:dyDescent="0.3">
      <c r="A49" t="s">
        <v>56</v>
      </c>
      <c r="B49" t="s">
        <v>163</v>
      </c>
      <c r="C49" t="s">
        <v>168</v>
      </c>
      <c r="D49" t="s">
        <v>170</v>
      </c>
      <c r="E49" s="2">
        <v>45353</v>
      </c>
      <c r="F49" s="2">
        <v>45368</v>
      </c>
      <c r="G49" t="s">
        <v>175</v>
      </c>
      <c r="H49">
        <v>15</v>
      </c>
      <c r="I49" t="s">
        <v>177</v>
      </c>
    </row>
    <row r="50" spans="1:9" x14ac:dyDescent="0.3">
      <c r="A50" t="s">
        <v>57</v>
      </c>
      <c r="B50" t="s">
        <v>159</v>
      </c>
      <c r="C50" t="s">
        <v>164</v>
      </c>
      <c r="D50" t="s">
        <v>170</v>
      </c>
      <c r="E50" s="2">
        <v>45554</v>
      </c>
      <c r="F50" s="2">
        <v>45577</v>
      </c>
      <c r="G50" t="s">
        <v>175</v>
      </c>
      <c r="H50">
        <v>23</v>
      </c>
      <c r="I50" t="s">
        <v>178</v>
      </c>
    </row>
    <row r="51" spans="1:9" x14ac:dyDescent="0.3">
      <c r="A51" t="s">
        <v>58</v>
      </c>
      <c r="B51" t="s">
        <v>161</v>
      </c>
      <c r="C51" t="s">
        <v>164</v>
      </c>
      <c r="D51" t="s">
        <v>170</v>
      </c>
      <c r="E51" s="2">
        <v>45496</v>
      </c>
      <c r="F51" s="2">
        <v>45518</v>
      </c>
      <c r="G51" t="s">
        <v>172</v>
      </c>
      <c r="H51">
        <v>22</v>
      </c>
      <c r="I51" t="s">
        <v>178</v>
      </c>
    </row>
    <row r="52" spans="1:9" x14ac:dyDescent="0.3">
      <c r="A52" t="s">
        <v>59</v>
      </c>
      <c r="B52" t="s">
        <v>160</v>
      </c>
      <c r="C52" t="s">
        <v>164</v>
      </c>
      <c r="D52" t="s">
        <v>170</v>
      </c>
      <c r="E52" s="2">
        <v>45509</v>
      </c>
      <c r="F52" s="2">
        <v>45520</v>
      </c>
      <c r="G52" t="s">
        <v>172</v>
      </c>
      <c r="H52">
        <v>11</v>
      </c>
      <c r="I52" t="s">
        <v>177</v>
      </c>
    </row>
    <row r="53" spans="1:9" x14ac:dyDescent="0.3">
      <c r="A53" t="s">
        <v>60</v>
      </c>
      <c r="B53" t="s">
        <v>163</v>
      </c>
      <c r="C53" t="s">
        <v>168</v>
      </c>
      <c r="D53" t="s">
        <v>170</v>
      </c>
      <c r="E53" s="2">
        <v>45319</v>
      </c>
      <c r="F53" s="2">
        <v>45331</v>
      </c>
      <c r="G53" t="s">
        <v>173</v>
      </c>
      <c r="H53">
        <v>12</v>
      </c>
      <c r="I53" t="s">
        <v>177</v>
      </c>
    </row>
    <row r="54" spans="1:9" x14ac:dyDescent="0.3">
      <c r="A54" t="s">
        <v>61</v>
      </c>
      <c r="B54" t="s">
        <v>159</v>
      </c>
      <c r="C54" t="s">
        <v>164</v>
      </c>
      <c r="D54" t="s">
        <v>171</v>
      </c>
      <c r="E54" s="2">
        <v>45580</v>
      </c>
      <c r="F54" s="2">
        <v>45596</v>
      </c>
      <c r="G54" t="s">
        <v>173</v>
      </c>
      <c r="H54">
        <v>16</v>
      </c>
      <c r="I54" t="s">
        <v>178</v>
      </c>
    </row>
    <row r="55" spans="1:9" x14ac:dyDescent="0.3">
      <c r="A55" t="s">
        <v>62</v>
      </c>
      <c r="B55" t="s">
        <v>161</v>
      </c>
      <c r="C55" t="s">
        <v>167</v>
      </c>
      <c r="D55" t="s">
        <v>171</v>
      </c>
      <c r="E55" s="2">
        <v>45447</v>
      </c>
      <c r="F55" s="2">
        <v>45471</v>
      </c>
      <c r="G55" t="s">
        <v>176</v>
      </c>
      <c r="H55">
        <v>24</v>
      </c>
      <c r="I55" t="s">
        <v>178</v>
      </c>
    </row>
    <row r="56" spans="1:9" x14ac:dyDescent="0.3">
      <c r="A56" t="s">
        <v>63</v>
      </c>
      <c r="B56" t="s">
        <v>161</v>
      </c>
      <c r="C56" t="s">
        <v>165</v>
      </c>
      <c r="D56" t="s">
        <v>170</v>
      </c>
      <c r="E56" s="2">
        <v>45297</v>
      </c>
      <c r="F56" s="2">
        <v>45310</v>
      </c>
      <c r="G56" t="s">
        <v>176</v>
      </c>
      <c r="H56">
        <v>13</v>
      </c>
      <c r="I56" t="s">
        <v>177</v>
      </c>
    </row>
    <row r="57" spans="1:9" x14ac:dyDescent="0.3">
      <c r="A57" t="s">
        <v>64</v>
      </c>
      <c r="B57" t="s">
        <v>159</v>
      </c>
      <c r="C57" t="s">
        <v>166</v>
      </c>
      <c r="D57" t="s">
        <v>170</v>
      </c>
      <c r="E57" s="2">
        <v>45544</v>
      </c>
      <c r="F57" s="2">
        <v>45556</v>
      </c>
      <c r="G57" t="s">
        <v>174</v>
      </c>
      <c r="H57">
        <v>12</v>
      </c>
      <c r="I57" t="s">
        <v>177</v>
      </c>
    </row>
    <row r="58" spans="1:9" x14ac:dyDescent="0.3">
      <c r="A58" t="s">
        <v>65</v>
      </c>
      <c r="B58" t="s">
        <v>160</v>
      </c>
      <c r="C58" t="s">
        <v>166</v>
      </c>
      <c r="D58" t="s">
        <v>171</v>
      </c>
      <c r="E58" s="2">
        <v>45424</v>
      </c>
      <c r="F58" s="2">
        <v>45448</v>
      </c>
      <c r="G58" t="s">
        <v>173</v>
      </c>
      <c r="H58">
        <v>24</v>
      </c>
      <c r="I58" t="s">
        <v>178</v>
      </c>
    </row>
    <row r="59" spans="1:9" x14ac:dyDescent="0.3">
      <c r="A59" t="s">
        <v>66</v>
      </c>
      <c r="B59" t="s">
        <v>159</v>
      </c>
      <c r="C59" t="s">
        <v>168</v>
      </c>
      <c r="D59" t="s">
        <v>170</v>
      </c>
      <c r="E59" s="2">
        <v>45544</v>
      </c>
      <c r="F59" s="2">
        <v>45559</v>
      </c>
      <c r="G59" t="s">
        <v>175</v>
      </c>
      <c r="H59">
        <v>15</v>
      </c>
      <c r="I59" t="s">
        <v>177</v>
      </c>
    </row>
    <row r="60" spans="1:9" x14ac:dyDescent="0.3">
      <c r="A60" t="s">
        <v>67</v>
      </c>
      <c r="B60" t="s">
        <v>163</v>
      </c>
      <c r="C60" t="s">
        <v>164</v>
      </c>
      <c r="D60" t="s">
        <v>170</v>
      </c>
      <c r="E60" s="2">
        <v>45449</v>
      </c>
      <c r="F60" s="2">
        <v>45460</v>
      </c>
      <c r="G60" t="s">
        <v>173</v>
      </c>
      <c r="H60">
        <v>11</v>
      </c>
      <c r="I60" t="s">
        <v>177</v>
      </c>
    </row>
    <row r="61" spans="1:9" x14ac:dyDescent="0.3">
      <c r="A61" t="s">
        <v>68</v>
      </c>
      <c r="B61" t="s">
        <v>159</v>
      </c>
      <c r="C61" t="s">
        <v>164</v>
      </c>
      <c r="D61" t="s">
        <v>171</v>
      </c>
      <c r="E61" s="2">
        <v>45441</v>
      </c>
      <c r="F61" s="2">
        <v>45445</v>
      </c>
      <c r="G61" t="s">
        <v>175</v>
      </c>
      <c r="H61">
        <v>4</v>
      </c>
      <c r="I61" t="s">
        <v>177</v>
      </c>
    </row>
    <row r="62" spans="1:9" x14ac:dyDescent="0.3">
      <c r="A62" t="s">
        <v>69</v>
      </c>
      <c r="B62" t="s">
        <v>161</v>
      </c>
      <c r="C62" t="s">
        <v>169</v>
      </c>
      <c r="D62" t="s">
        <v>170</v>
      </c>
      <c r="E62" s="2">
        <v>45487</v>
      </c>
      <c r="F62" s="2">
        <v>45496</v>
      </c>
      <c r="G62" t="s">
        <v>172</v>
      </c>
      <c r="H62">
        <v>9</v>
      </c>
      <c r="I62" t="s">
        <v>177</v>
      </c>
    </row>
    <row r="63" spans="1:9" x14ac:dyDescent="0.3">
      <c r="A63" t="s">
        <v>70</v>
      </c>
      <c r="B63" t="s">
        <v>159</v>
      </c>
      <c r="C63" t="s">
        <v>165</v>
      </c>
      <c r="D63" t="s">
        <v>170</v>
      </c>
      <c r="E63" s="2">
        <v>45460</v>
      </c>
      <c r="F63" s="2">
        <v>45478</v>
      </c>
      <c r="G63" t="s">
        <v>173</v>
      </c>
      <c r="H63">
        <v>18</v>
      </c>
      <c r="I63" t="s">
        <v>178</v>
      </c>
    </row>
    <row r="64" spans="1:9" x14ac:dyDescent="0.3">
      <c r="A64" t="s">
        <v>71</v>
      </c>
      <c r="B64" t="s">
        <v>160</v>
      </c>
      <c r="C64" t="s">
        <v>167</v>
      </c>
      <c r="D64" t="s">
        <v>170</v>
      </c>
      <c r="E64" s="2">
        <v>45345</v>
      </c>
      <c r="F64" s="2">
        <v>45358</v>
      </c>
      <c r="G64" t="s">
        <v>172</v>
      </c>
      <c r="H64">
        <v>13</v>
      </c>
      <c r="I64" t="s">
        <v>177</v>
      </c>
    </row>
    <row r="65" spans="1:9" x14ac:dyDescent="0.3">
      <c r="A65" t="s">
        <v>72</v>
      </c>
      <c r="B65" t="s">
        <v>162</v>
      </c>
      <c r="C65" t="s">
        <v>166</v>
      </c>
      <c r="D65" t="s">
        <v>170</v>
      </c>
      <c r="E65" s="2">
        <v>45406</v>
      </c>
      <c r="F65" s="2">
        <v>45424</v>
      </c>
      <c r="G65" t="s">
        <v>176</v>
      </c>
      <c r="H65">
        <v>18</v>
      </c>
      <c r="I65" t="s">
        <v>178</v>
      </c>
    </row>
    <row r="66" spans="1:9" x14ac:dyDescent="0.3">
      <c r="A66" t="s">
        <v>73</v>
      </c>
      <c r="B66" t="s">
        <v>159</v>
      </c>
      <c r="C66" t="s">
        <v>169</v>
      </c>
      <c r="D66" t="s">
        <v>170</v>
      </c>
      <c r="E66" s="2">
        <v>45519</v>
      </c>
      <c r="F66" s="2">
        <v>45535</v>
      </c>
      <c r="G66" t="s">
        <v>176</v>
      </c>
      <c r="H66">
        <v>16</v>
      </c>
      <c r="I66" t="s">
        <v>178</v>
      </c>
    </row>
    <row r="67" spans="1:9" x14ac:dyDescent="0.3">
      <c r="A67" t="s">
        <v>74</v>
      </c>
      <c r="B67" t="s">
        <v>160</v>
      </c>
      <c r="C67" t="s">
        <v>169</v>
      </c>
      <c r="D67" t="s">
        <v>170</v>
      </c>
      <c r="E67" s="2">
        <v>45382</v>
      </c>
      <c r="F67" s="2">
        <v>45397</v>
      </c>
      <c r="G67" t="s">
        <v>174</v>
      </c>
      <c r="H67">
        <v>15</v>
      </c>
      <c r="I67" t="s">
        <v>177</v>
      </c>
    </row>
    <row r="68" spans="1:9" x14ac:dyDescent="0.3">
      <c r="A68" t="s">
        <v>75</v>
      </c>
      <c r="B68" t="s">
        <v>160</v>
      </c>
      <c r="C68" t="s">
        <v>168</v>
      </c>
      <c r="D68" t="s">
        <v>170</v>
      </c>
      <c r="E68" s="2">
        <v>45469</v>
      </c>
      <c r="F68" s="2">
        <v>45475</v>
      </c>
      <c r="G68" t="s">
        <v>173</v>
      </c>
      <c r="H68">
        <v>6</v>
      </c>
      <c r="I68" t="s">
        <v>177</v>
      </c>
    </row>
    <row r="69" spans="1:9" x14ac:dyDescent="0.3">
      <c r="A69" t="s">
        <v>76</v>
      </c>
      <c r="B69" t="s">
        <v>161</v>
      </c>
      <c r="C69" t="s">
        <v>166</v>
      </c>
      <c r="D69" t="s">
        <v>170</v>
      </c>
      <c r="E69" s="2">
        <v>45464</v>
      </c>
      <c r="F69" s="2">
        <v>45467</v>
      </c>
      <c r="G69" t="s">
        <v>172</v>
      </c>
      <c r="H69">
        <v>3</v>
      </c>
      <c r="I69" t="s">
        <v>177</v>
      </c>
    </row>
    <row r="70" spans="1:9" x14ac:dyDescent="0.3">
      <c r="A70" t="s">
        <v>77</v>
      </c>
      <c r="B70" t="s">
        <v>160</v>
      </c>
      <c r="C70" t="s">
        <v>168</v>
      </c>
      <c r="D70" t="s">
        <v>171</v>
      </c>
      <c r="E70" s="2">
        <v>45503</v>
      </c>
      <c r="F70" s="2">
        <v>45516</v>
      </c>
      <c r="G70" t="s">
        <v>175</v>
      </c>
      <c r="H70">
        <v>13</v>
      </c>
      <c r="I70" t="s">
        <v>177</v>
      </c>
    </row>
    <row r="71" spans="1:9" x14ac:dyDescent="0.3">
      <c r="A71" t="s">
        <v>78</v>
      </c>
      <c r="B71" t="s">
        <v>160</v>
      </c>
      <c r="C71" t="s">
        <v>167</v>
      </c>
      <c r="D71" t="s">
        <v>171</v>
      </c>
      <c r="E71" s="2">
        <v>45372</v>
      </c>
      <c r="F71" s="2">
        <v>45376</v>
      </c>
      <c r="G71" t="s">
        <v>176</v>
      </c>
      <c r="H71">
        <v>4</v>
      </c>
      <c r="I71" t="s">
        <v>177</v>
      </c>
    </row>
    <row r="72" spans="1:9" x14ac:dyDescent="0.3">
      <c r="A72" t="s">
        <v>79</v>
      </c>
      <c r="B72" t="s">
        <v>160</v>
      </c>
      <c r="C72" t="s">
        <v>169</v>
      </c>
      <c r="D72" t="s">
        <v>170</v>
      </c>
      <c r="E72" s="2">
        <v>45525</v>
      </c>
      <c r="F72" s="2">
        <v>45550</v>
      </c>
      <c r="G72" t="s">
        <v>176</v>
      </c>
      <c r="H72">
        <v>25</v>
      </c>
      <c r="I72" t="s">
        <v>178</v>
      </c>
    </row>
    <row r="73" spans="1:9" x14ac:dyDescent="0.3">
      <c r="A73" t="s">
        <v>80</v>
      </c>
      <c r="B73" t="s">
        <v>160</v>
      </c>
      <c r="C73" t="s">
        <v>169</v>
      </c>
      <c r="D73" t="s">
        <v>170</v>
      </c>
      <c r="E73" s="2">
        <v>45404</v>
      </c>
      <c r="F73" s="2">
        <v>45424</v>
      </c>
      <c r="G73" t="s">
        <v>175</v>
      </c>
      <c r="H73">
        <v>20</v>
      </c>
      <c r="I73" t="s">
        <v>178</v>
      </c>
    </row>
    <row r="74" spans="1:9" x14ac:dyDescent="0.3">
      <c r="A74" t="s">
        <v>81</v>
      </c>
      <c r="B74" t="s">
        <v>163</v>
      </c>
      <c r="C74" t="s">
        <v>165</v>
      </c>
      <c r="D74" t="s">
        <v>170</v>
      </c>
      <c r="E74" s="2">
        <v>45511</v>
      </c>
      <c r="F74" s="2">
        <v>45533</v>
      </c>
      <c r="G74" t="s">
        <v>172</v>
      </c>
      <c r="H74">
        <v>22</v>
      </c>
      <c r="I74" t="s">
        <v>178</v>
      </c>
    </row>
    <row r="75" spans="1:9" x14ac:dyDescent="0.3">
      <c r="A75" t="s">
        <v>82</v>
      </c>
      <c r="B75" t="s">
        <v>163</v>
      </c>
      <c r="C75" t="s">
        <v>167</v>
      </c>
      <c r="D75" t="s">
        <v>171</v>
      </c>
      <c r="E75" s="2">
        <v>45571</v>
      </c>
      <c r="F75" s="2">
        <v>45592</v>
      </c>
      <c r="G75" t="s">
        <v>172</v>
      </c>
      <c r="H75">
        <v>21</v>
      </c>
      <c r="I75" t="s">
        <v>178</v>
      </c>
    </row>
    <row r="76" spans="1:9" x14ac:dyDescent="0.3">
      <c r="A76" t="s">
        <v>83</v>
      </c>
      <c r="B76" t="s">
        <v>161</v>
      </c>
      <c r="C76" t="s">
        <v>169</v>
      </c>
      <c r="D76" t="s">
        <v>170</v>
      </c>
      <c r="E76" s="2">
        <v>45569</v>
      </c>
      <c r="F76" s="2">
        <v>45580</v>
      </c>
      <c r="G76" t="s">
        <v>173</v>
      </c>
      <c r="H76">
        <v>11</v>
      </c>
      <c r="I76" t="s">
        <v>177</v>
      </c>
    </row>
    <row r="77" spans="1:9" x14ac:dyDescent="0.3">
      <c r="A77" t="s">
        <v>84</v>
      </c>
      <c r="B77" t="s">
        <v>159</v>
      </c>
      <c r="C77" t="s">
        <v>167</v>
      </c>
      <c r="D77" t="s">
        <v>170</v>
      </c>
      <c r="E77" s="2">
        <v>45406</v>
      </c>
      <c r="F77" s="2">
        <v>45425</v>
      </c>
      <c r="G77" t="s">
        <v>173</v>
      </c>
      <c r="H77">
        <v>19</v>
      </c>
      <c r="I77" t="s">
        <v>178</v>
      </c>
    </row>
    <row r="78" spans="1:9" x14ac:dyDescent="0.3">
      <c r="A78" t="s">
        <v>85</v>
      </c>
      <c r="B78" t="s">
        <v>160</v>
      </c>
      <c r="C78" t="s">
        <v>166</v>
      </c>
      <c r="D78" t="s">
        <v>170</v>
      </c>
      <c r="E78" s="2">
        <v>45400</v>
      </c>
      <c r="F78" s="2">
        <v>45423</v>
      </c>
      <c r="G78" t="s">
        <v>174</v>
      </c>
      <c r="H78">
        <v>23</v>
      </c>
      <c r="I78" t="s">
        <v>178</v>
      </c>
    </row>
    <row r="79" spans="1:9" x14ac:dyDescent="0.3">
      <c r="A79" t="s">
        <v>86</v>
      </c>
      <c r="B79" t="s">
        <v>159</v>
      </c>
      <c r="C79" t="s">
        <v>164</v>
      </c>
      <c r="D79" t="s">
        <v>170</v>
      </c>
      <c r="E79" s="2">
        <v>45564</v>
      </c>
      <c r="F79" s="2">
        <v>45573</v>
      </c>
      <c r="G79" t="s">
        <v>176</v>
      </c>
      <c r="H79">
        <v>9</v>
      </c>
      <c r="I79" t="s">
        <v>177</v>
      </c>
    </row>
    <row r="80" spans="1:9" x14ac:dyDescent="0.3">
      <c r="A80" t="s">
        <v>87</v>
      </c>
      <c r="B80" t="s">
        <v>159</v>
      </c>
      <c r="C80" t="s">
        <v>169</v>
      </c>
      <c r="D80" t="s">
        <v>170</v>
      </c>
      <c r="E80" s="2">
        <v>45525</v>
      </c>
      <c r="F80" s="2">
        <v>45536</v>
      </c>
      <c r="G80" t="s">
        <v>173</v>
      </c>
      <c r="H80">
        <v>11</v>
      </c>
      <c r="I80" t="s">
        <v>177</v>
      </c>
    </row>
    <row r="81" spans="1:9" x14ac:dyDescent="0.3">
      <c r="A81" t="s">
        <v>88</v>
      </c>
      <c r="B81" t="s">
        <v>161</v>
      </c>
      <c r="C81" t="s">
        <v>165</v>
      </c>
      <c r="D81" t="s">
        <v>170</v>
      </c>
      <c r="E81" s="2">
        <v>45434</v>
      </c>
      <c r="F81" s="2">
        <v>45452</v>
      </c>
      <c r="G81" t="s">
        <v>172</v>
      </c>
      <c r="H81">
        <v>18</v>
      </c>
      <c r="I81" t="s">
        <v>178</v>
      </c>
    </row>
    <row r="82" spans="1:9" x14ac:dyDescent="0.3">
      <c r="A82" t="s">
        <v>89</v>
      </c>
      <c r="B82" t="s">
        <v>160</v>
      </c>
      <c r="C82" t="s">
        <v>166</v>
      </c>
      <c r="D82" t="s">
        <v>170</v>
      </c>
      <c r="E82" s="2">
        <v>45475</v>
      </c>
      <c r="F82" s="2">
        <v>45491</v>
      </c>
      <c r="G82" t="s">
        <v>175</v>
      </c>
      <c r="H82">
        <v>16</v>
      </c>
      <c r="I82" t="s">
        <v>178</v>
      </c>
    </row>
    <row r="83" spans="1:9" x14ac:dyDescent="0.3">
      <c r="A83" t="s">
        <v>90</v>
      </c>
      <c r="B83" t="s">
        <v>160</v>
      </c>
      <c r="C83" t="s">
        <v>167</v>
      </c>
      <c r="D83" t="s">
        <v>170</v>
      </c>
      <c r="E83" s="2">
        <v>45400</v>
      </c>
      <c r="F83" s="2">
        <v>45420</v>
      </c>
      <c r="G83" t="s">
        <v>172</v>
      </c>
      <c r="H83">
        <v>20</v>
      </c>
      <c r="I83" t="s">
        <v>178</v>
      </c>
    </row>
    <row r="84" spans="1:9" x14ac:dyDescent="0.3">
      <c r="A84" t="s">
        <v>91</v>
      </c>
      <c r="B84" t="s">
        <v>162</v>
      </c>
      <c r="C84" t="s">
        <v>168</v>
      </c>
      <c r="D84" t="s">
        <v>170</v>
      </c>
      <c r="E84" s="2">
        <v>45334</v>
      </c>
      <c r="F84" s="2">
        <v>45352</v>
      </c>
      <c r="G84" t="s">
        <v>176</v>
      </c>
      <c r="H84">
        <v>18</v>
      </c>
      <c r="I84" t="s">
        <v>178</v>
      </c>
    </row>
    <row r="85" spans="1:9" x14ac:dyDescent="0.3">
      <c r="A85" t="s">
        <v>92</v>
      </c>
      <c r="B85" t="s">
        <v>159</v>
      </c>
      <c r="C85" t="s">
        <v>166</v>
      </c>
      <c r="D85" t="s">
        <v>171</v>
      </c>
      <c r="E85" s="2">
        <v>45398</v>
      </c>
      <c r="F85" s="2">
        <v>45418</v>
      </c>
      <c r="G85" t="s">
        <v>172</v>
      </c>
      <c r="H85">
        <v>20</v>
      </c>
      <c r="I85" t="s">
        <v>178</v>
      </c>
    </row>
    <row r="86" spans="1:9" x14ac:dyDescent="0.3">
      <c r="A86" t="s">
        <v>93</v>
      </c>
      <c r="B86" t="s">
        <v>159</v>
      </c>
      <c r="C86" t="s">
        <v>169</v>
      </c>
      <c r="D86" t="s">
        <v>170</v>
      </c>
      <c r="E86" s="2">
        <v>45394</v>
      </c>
      <c r="F86" s="2">
        <v>45409</v>
      </c>
      <c r="G86" t="s">
        <v>174</v>
      </c>
      <c r="H86">
        <v>15</v>
      </c>
      <c r="I86" t="s">
        <v>177</v>
      </c>
    </row>
    <row r="87" spans="1:9" x14ac:dyDescent="0.3">
      <c r="A87" t="s">
        <v>94</v>
      </c>
      <c r="B87" t="s">
        <v>163</v>
      </c>
      <c r="C87" t="s">
        <v>167</v>
      </c>
      <c r="D87" t="s">
        <v>170</v>
      </c>
      <c r="E87" s="2">
        <v>45493</v>
      </c>
      <c r="F87" s="2">
        <v>45511</v>
      </c>
      <c r="G87" t="s">
        <v>176</v>
      </c>
      <c r="H87">
        <v>18</v>
      </c>
      <c r="I87" t="s">
        <v>178</v>
      </c>
    </row>
    <row r="88" spans="1:9" x14ac:dyDescent="0.3">
      <c r="A88" t="s">
        <v>95</v>
      </c>
      <c r="B88" t="s">
        <v>162</v>
      </c>
      <c r="C88" t="s">
        <v>164</v>
      </c>
      <c r="D88" t="s">
        <v>170</v>
      </c>
      <c r="E88" s="2">
        <v>45354</v>
      </c>
      <c r="F88" s="2">
        <v>45361</v>
      </c>
      <c r="G88" t="s">
        <v>175</v>
      </c>
      <c r="H88">
        <v>7</v>
      </c>
      <c r="I88" t="s">
        <v>177</v>
      </c>
    </row>
    <row r="89" spans="1:9" x14ac:dyDescent="0.3">
      <c r="A89" t="s">
        <v>96</v>
      </c>
      <c r="B89" t="s">
        <v>163</v>
      </c>
      <c r="C89" t="s">
        <v>166</v>
      </c>
      <c r="D89" t="s">
        <v>170</v>
      </c>
      <c r="E89" s="2">
        <v>45574</v>
      </c>
      <c r="F89" s="2">
        <v>45593</v>
      </c>
      <c r="G89" t="s">
        <v>174</v>
      </c>
      <c r="H89">
        <v>19</v>
      </c>
      <c r="I89" t="s">
        <v>178</v>
      </c>
    </row>
    <row r="90" spans="1:9" x14ac:dyDescent="0.3">
      <c r="A90" t="s">
        <v>97</v>
      </c>
      <c r="B90" t="s">
        <v>163</v>
      </c>
      <c r="C90" t="s">
        <v>169</v>
      </c>
      <c r="D90" t="s">
        <v>170</v>
      </c>
      <c r="E90" s="2">
        <v>45297</v>
      </c>
      <c r="F90" s="2">
        <v>45309</v>
      </c>
      <c r="G90" t="s">
        <v>176</v>
      </c>
      <c r="H90">
        <v>12</v>
      </c>
      <c r="I90" t="s">
        <v>177</v>
      </c>
    </row>
    <row r="91" spans="1:9" x14ac:dyDescent="0.3">
      <c r="A91" t="s">
        <v>98</v>
      </c>
      <c r="B91" t="s">
        <v>163</v>
      </c>
      <c r="C91" t="s">
        <v>165</v>
      </c>
      <c r="D91" t="s">
        <v>170</v>
      </c>
      <c r="E91" s="2">
        <v>45414</v>
      </c>
      <c r="F91" s="2">
        <v>45439</v>
      </c>
      <c r="G91" t="s">
        <v>175</v>
      </c>
      <c r="H91">
        <v>25</v>
      </c>
      <c r="I91" t="s">
        <v>178</v>
      </c>
    </row>
    <row r="92" spans="1:9" x14ac:dyDescent="0.3">
      <c r="A92" t="s">
        <v>99</v>
      </c>
      <c r="B92" t="s">
        <v>161</v>
      </c>
      <c r="C92" t="s">
        <v>168</v>
      </c>
      <c r="D92" t="s">
        <v>171</v>
      </c>
      <c r="E92" s="2">
        <v>45552</v>
      </c>
      <c r="F92" s="2">
        <v>45555</v>
      </c>
      <c r="G92" t="s">
        <v>174</v>
      </c>
      <c r="H92">
        <v>3</v>
      </c>
      <c r="I92" t="s">
        <v>177</v>
      </c>
    </row>
    <row r="93" spans="1:9" x14ac:dyDescent="0.3">
      <c r="A93" t="s">
        <v>100</v>
      </c>
      <c r="B93" t="s">
        <v>161</v>
      </c>
      <c r="C93" t="s">
        <v>167</v>
      </c>
      <c r="D93" t="s">
        <v>171</v>
      </c>
      <c r="E93" s="2">
        <v>45446</v>
      </c>
      <c r="F93" s="2">
        <v>45452</v>
      </c>
      <c r="G93" t="s">
        <v>174</v>
      </c>
      <c r="H93">
        <v>6</v>
      </c>
      <c r="I93" t="s">
        <v>177</v>
      </c>
    </row>
    <row r="94" spans="1:9" x14ac:dyDescent="0.3">
      <c r="A94" t="s">
        <v>101</v>
      </c>
      <c r="B94" t="s">
        <v>163</v>
      </c>
      <c r="C94" t="s">
        <v>166</v>
      </c>
      <c r="D94" t="s">
        <v>170</v>
      </c>
      <c r="E94" s="2">
        <v>45327</v>
      </c>
      <c r="F94" s="2">
        <v>45352</v>
      </c>
      <c r="G94" t="s">
        <v>176</v>
      </c>
      <c r="H94">
        <v>25</v>
      </c>
      <c r="I94" t="s">
        <v>178</v>
      </c>
    </row>
    <row r="95" spans="1:9" x14ac:dyDescent="0.3">
      <c r="A95" t="s">
        <v>102</v>
      </c>
      <c r="B95" t="s">
        <v>162</v>
      </c>
      <c r="C95" t="s">
        <v>166</v>
      </c>
      <c r="D95" t="s">
        <v>171</v>
      </c>
      <c r="E95" s="2">
        <v>45392</v>
      </c>
      <c r="F95" s="2">
        <v>45416</v>
      </c>
      <c r="G95" t="s">
        <v>173</v>
      </c>
      <c r="H95">
        <v>24</v>
      </c>
      <c r="I95" t="s">
        <v>178</v>
      </c>
    </row>
    <row r="96" spans="1:9" x14ac:dyDescent="0.3">
      <c r="A96" t="s">
        <v>103</v>
      </c>
      <c r="B96" t="s">
        <v>159</v>
      </c>
      <c r="C96" t="s">
        <v>164</v>
      </c>
      <c r="D96" t="s">
        <v>170</v>
      </c>
      <c r="E96" s="2">
        <v>45501</v>
      </c>
      <c r="F96" s="2">
        <v>45517</v>
      </c>
      <c r="G96" t="s">
        <v>174</v>
      </c>
      <c r="H96">
        <v>16</v>
      </c>
      <c r="I96" t="s">
        <v>178</v>
      </c>
    </row>
    <row r="97" spans="1:9" x14ac:dyDescent="0.3">
      <c r="A97" t="s">
        <v>104</v>
      </c>
      <c r="B97" t="s">
        <v>162</v>
      </c>
      <c r="C97" t="s">
        <v>164</v>
      </c>
      <c r="D97" t="s">
        <v>170</v>
      </c>
      <c r="E97" s="2">
        <v>45299</v>
      </c>
      <c r="F97" s="2">
        <v>45310</v>
      </c>
      <c r="G97" t="s">
        <v>174</v>
      </c>
      <c r="H97">
        <v>11</v>
      </c>
      <c r="I97" t="s">
        <v>177</v>
      </c>
    </row>
    <row r="98" spans="1:9" x14ac:dyDescent="0.3">
      <c r="A98" t="s">
        <v>105</v>
      </c>
      <c r="B98" t="s">
        <v>160</v>
      </c>
      <c r="C98" t="s">
        <v>165</v>
      </c>
      <c r="D98" t="s">
        <v>171</v>
      </c>
      <c r="E98" s="2">
        <v>45487</v>
      </c>
      <c r="F98" s="2">
        <v>45502</v>
      </c>
      <c r="G98" t="s">
        <v>175</v>
      </c>
      <c r="H98">
        <v>15</v>
      </c>
      <c r="I98" t="s">
        <v>177</v>
      </c>
    </row>
    <row r="99" spans="1:9" x14ac:dyDescent="0.3">
      <c r="A99" t="s">
        <v>106</v>
      </c>
      <c r="B99" t="s">
        <v>161</v>
      </c>
      <c r="C99" t="s">
        <v>168</v>
      </c>
      <c r="D99" t="s">
        <v>171</v>
      </c>
      <c r="E99" s="2">
        <v>45450</v>
      </c>
      <c r="F99" s="2">
        <v>45460</v>
      </c>
      <c r="G99" t="s">
        <v>172</v>
      </c>
      <c r="H99">
        <v>10</v>
      </c>
      <c r="I99" t="s">
        <v>177</v>
      </c>
    </row>
    <row r="100" spans="1:9" x14ac:dyDescent="0.3">
      <c r="A100" t="s">
        <v>107</v>
      </c>
      <c r="B100" t="s">
        <v>159</v>
      </c>
      <c r="C100" t="s">
        <v>165</v>
      </c>
      <c r="D100" t="s">
        <v>171</v>
      </c>
      <c r="E100" s="2">
        <v>45407</v>
      </c>
      <c r="F100" s="2">
        <v>45417</v>
      </c>
      <c r="G100" t="s">
        <v>176</v>
      </c>
      <c r="H100">
        <v>10</v>
      </c>
      <c r="I100" t="s">
        <v>177</v>
      </c>
    </row>
    <row r="101" spans="1:9" x14ac:dyDescent="0.3">
      <c r="A101" t="s">
        <v>108</v>
      </c>
      <c r="B101" t="s">
        <v>159</v>
      </c>
      <c r="C101" t="s">
        <v>169</v>
      </c>
      <c r="D101" t="s">
        <v>170</v>
      </c>
      <c r="E101" s="2">
        <v>45453</v>
      </c>
      <c r="F101" s="2">
        <v>45471</v>
      </c>
      <c r="G101" t="s">
        <v>176</v>
      </c>
      <c r="H101">
        <v>18</v>
      </c>
      <c r="I101" t="s">
        <v>178</v>
      </c>
    </row>
    <row r="102" spans="1:9" x14ac:dyDescent="0.3">
      <c r="A102" t="s">
        <v>109</v>
      </c>
      <c r="B102" t="s">
        <v>160</v>
      </c>
      <c r="C102" t="s">
        <v>169</v>
      </c>
      <c r="D102" t="s">
        <v>170</v>
      </c>
      <c r="E102" s="2">
        <v>45298</v>
      </c>
      <c r="F102" s="2">
        <v>45314</v>
      </c>
      <c r="G102" t="s">
        <v>173</v>
      </c>
      <c r="H102">
        <v>16</v>
      </c>
      <c r="I102" t="s">
        <v>178</v>
      </c>
    </row>
    <row r="103" spans="1:9" x14ac:dyDescent="0.3">
      <c r="A103" t="s">
        <v>110</v>
      </c>
      <c r="B103" t="s">
        <v>160</v>
      </c>
      <c r="C103" t="s">
        <v>165</v>
      </c>
      <c r="D103" t="s">
        <v>171</v>
      </c>
      <c r="E103" s="2">
        <v>45312</v>
      </c>
      <c r="F103" s="2">
        <v>45315</v>
      </c>
      <c r="G103" t="s">
        <v>173</v>
      </c>
      <c r="H103">
        <v>3</v>
      </c>
      <c r="I103" t="s">
        <v>177</v>
      </c>
    </row>
    <row r="104" spans="1:9" x14ac:dyDescent="0.3">
      <c r="A104" t="s">
        <v>111</v>
      </c>
      <c r="B104" t="s">
        <v>163</v>
      </c>
      <c r="C104" t="s">
        <v>168</v>
      </c>
      <c r="D104" t="s">
        <v>170</v>
      </c>
      <c r="E104" s="2">
        <v>45368</v>
      </c>
      <c r="F104" s="2">
        <v>45390</v>
      </c>
      <c r="G104" t="s">
        <v>176</v>
      </c>
      <c r="H104">
        <v>22</v>
      </c>
      <c r="I104" t="s">
        <v>178</v>
      </c>
    </row>
    <row r="105" spans="1:9" x14ac:dyDescent="0.3">
      <c r="A105" t="s">
        <v>112</v>
      </c>
      <c r="B105" t="s">
        <v>161</v>
      </c>
      <c r="C105" t="s">
        <v>165</v>
      </c>
      <c r="D105" t="s">
        <v>170</v>
      </c>
      <c r="E105" s="2">
        <v>45425</v>
      </c>
      <c r="F105" s="2">
        <v>45448</v>
      </c>
      <c r="G105" t="s">
        <v>173</v>
      </c>
      <c r="H105">
        <v>23</v>
      </c>
      <c r="I105" t="s">
        <v>178</v>
      </c>
    </row>
    <row r="106" spans="1:9" x14ac:dyDescent="0.3">
      <c r="A106" t="s">
        <v>113</v>
      </c>
      <c r="B106" t="s">
        <v>161</v>
      </c>
      <c r="C106" t="s">
        <v>168</v>
      </c>
      <c r="D106" t="s">
        <v>171</v>
      </c>
      <c r="E106" s="2">
        <v>45344</v>
      </c>
      <c r="F106" s="2">
        <v>45362</v>
      </c>
      <c r="G106" t="s">
        <v>175</v>
      </c>
      <c r="H106">
        <v>18</v>
      </c>
      <c r="I106" t="s">
        <v>178</v>
      </c>
    </row>
    <row r="107" spans="1:9" x14ac:dyDescent="0.3">
      <c r="A107" t="s">
        <v>114</v>
      </c>
      <c r="B107" t="s">
        <v>162</v>
      </c>
      <c r="C107" t="s">
        <v>168</v>
      </c>
      <c r="D107" t="s">
        <v>170</v>
      </c>
      <c r="E107" s="2">
        <v>45508</v>
      </c>
      <c r="F107" s="2">
        <v>45518</v>
      </c>
      <c r="G107" t="s">
        <v>176</v>
      </c>
      <c r="H107">
        <v>10</v>
      </c>
      <c r="I107" t="s">
        <v>177</v>
      </c>
    </row>
    <row r="108" spans="1:9" x14ac:dyDescent="0.3">
      <c r="A108" t="s">
        <v>115</v>
      </c>
      <c r="B108" t="s">
        <v>163</v>
      </c>
      <c r="C108" t="s">
        <v>167</v>
      </c>
      <c r="D108" t="s">
        <v>170</v>
      </c>
      <c r="E108" s="2">
        <v>45478</v>
      </c>
      <c r="F108" s="2">
        <v>45493</v>
      </c>
      <c r="G108" t="s">
        <v>173</v>
      </c>
      <c r="H108">
        <v>15</v>
      </c>
      <c r="I108" t="s">
        <v>177</v>
      </c>
    </row>
    <row r="109" spans="1:9" x14ac:dyDescent="0.3">
      <c r="A109" t="s">
        <v>116</v>
      </c>
      <c r="B109" t="s">
        <v>163</v>
      </c>
      <c r="C109" t="s">
        <v>168</v>
      </c>
      <c r="D109" t="s">
        <v>170</v>
      </c>
      <c r="E109" s="2">
        <v>45320</v>
      </c>
      <c r="F109" s="2">
        <v>45341</v>
      </c>
      <c r="G109" t="s">
        <v>176</v>
      </c>
      <c r="H109">
        <v>21</v>
      </c>
      <c r="I109" t="s">
        <v>178</v>
      </c>
    </row>
    <row r="110" spans="1:9" x14ac:dyDescent="0.3">
      <c r="A110" t="s">
        <v>117</v>
      </c>
      <c r="B110" t="s">
        <v>163</v>
      </c>
      <c r="C110" t="s">
        <v>164</v>
      </c>
      <c r="D110" t="s">
        <v>171</v>
      </c>
      <c r="E110" s="2">
        <v>45479</v>
      </c>
      <c r="F110" s="2">
        <v>45483</v>
      </c>
      <c r="G110" t="s">
        <v>172</v>
      </c>
      <c r="H110">
        <v>4</v>
      </c>
      <c r="I110" t="s">
        <v>177</v>
      </c>
    </row>
    <row r="111" spans="1:9" x14ac:dyDescent="0.3">
      <c r="A111" t="s">
        <v>118</v>
      </c>
      <c r="B111" t="s">
        <v>163</v>
      </c>
      <c r="C111" t="s">
        <v>168</v>
      </c>
      <c r="D111" t="s">
        <v>171</v>
      </c>
      <c r="E111" s="2">
        <v>45576</v>
      </c>
      <c r="F111" s="2">
        <v>45583</v>
      </c>
      <c r="G111" t="s">
        <v>174</v>
      </c>
      <c r="H111">
        <v>7</v>
      </c>
      <c r="I111" t="s">
        <v>177</v>
      </c>
    </row>
    <row r="112" spans="1:9" x14ac:dyDescent="0.3">
      <c r="A112" t="s">
        <v>119</v>
      </c>
      <c r="B112" t="s">
        <v>161</v>
      </c>
      <c r="C112" t="s">
        <v>168</v>
      </c>
      <c r="D112" t="s">
        <v>171</v>
      </c>
      <c r="E112" s="2">
        <v>45416</v>
      </c>
      <c r="F112" s="2">
        <v>45428</v>
      </c>
      <c r="G112" t="s">
        <v>176</v>
      </c>
      <c r="H112">
        <v>12</v>
      </c>
      <c r="I112" t="s">
        <v>177</v>
      </c>
    </row>
    <row r="113" spans="1:9" x14ac:dyDescent="0.3">
      <c r="A113" t="s">
        <v>120</v>
      </c>
      <c r="B113" t="s">
        <v>161</v>
      </c>
      <c r="C113" t="s">
        <v>168</v>
      </c>
      <c r="D113" t="s">
        <v>170</v>
      </c>
      <c r="E113" s="2">
        <v>45331</v>
      </c>
      <c r="F113" s="2">
        <v>45341</v>
      </c>
      <c r="G113" t="s">
        <v>174</v>
      </c>
      <c r="H113">
        <v>10</v>
      </c>
      <c r="I113" t="s">
        <v>177</v>
      </c>
    </row>
    <row r="114" spans="1:9" x14ac:dyDescent="0.3">
      <c r="A114" t="s">
        <v>121</v>
      </c>
      <c r="B114" t="s">
        <v>163</v>
      </c>
      <c r="C114" t="s">
        <v>169</v>
      </c>
      <c r="D114" t="s">
        <v>170</v>
      </c>
      <c r="E114" s="2">
        <v>45520</v>
      </c>
      <c r="F114" s="2">
        <v>45525</v>
      </c>
      <c r="G114" t="s">
        <v>173</v>
      </c>
      <c r="H114">
        <v>5</v>
      </c>
      <c r="I114" t="s">
        <v>177</v>
      </c>
    </row>
    <row r="115" spans="1:9" x14ac:dyDescent="0.3">
      <c r="A115" t="s">
        <v>122</v>
      </c>
      <c r="B115" t="s">
        <v>162</v>
      </c>
      <c r="C115" t="s">
        <v>164</v>
      </c>
      <c r="D115" t="s">
        <v>171</v>
      </c>
      <c r="E115" s="2">
        <v>45414</v>
      </c>
      <c r="F115" s="2">
        <v>45420</v>
      </c>
      <c r="G115" t="s">
        <v>174</v>
      </c>
      <c r="H115">
        <v>6</v>
      </c>
      <c r="I115" t="s">
        <v>177</v>
      </c>
    </row>
    <row r="116" spans="1:9" x14ac:dyDescent="0.3">
      <c r="A116" t="s">
        <v>123</v>
      </c>
      <c r="B116" t="s">
        <v>159</v>
      </c>
      <c r="C116" t="s">
        <v>164</v>
      </c>
      <c r="D116" t="s">
        <v>171</v>
      </c>
      <c r="E116" s="2">
        <v>45367</v>
      </c>
      <c r="F116" s="2">
        <v>45390</v>
      </c>
      <c r="G116" t="s">
        <v>176</v>
      </c>
      <c r="H116">
        <v>23</v>
      </c>
      <c r="I116" t="s">
        <v>178</v>
      </c>
    </row>
    <row r="117" spans="1:9" x14ac:dyDescent="0.3">
      <c r="A117" t="s">
        <v>124</v>
      </c>
      <c r="B117" t="s">
        <v>159</v>
      </c>
      <c r="C117" t="s">
        <v>165</v>
      </c>
      <c r="D117" t="s">
        <v>171</v>
      </c>
      <c r="E117" s="2">
        <v>45422</v>
      </c>
      <c r="F117" s="2">
        <v>45438</v>
      </c>
      <c r="G117" t="s">
        <v>172</v>
      </c>
      <c r="H117">
        <v>16</v>
      </c>
      <c r="I117" t="s">
        <v>178</v>
      </c>
    </row>
    <row r="118" spans="1:9" x14ac:dyDescent="0.3">
      <c r="A118" t="s">
        <v>125</v>
      </c>
      <c r="B118" t="s">
        <v>162</v>
      </c>
      <c r="C118" t="s">
        <v>167</v>
      </c>
      <c r="D118" t="s">
        <v>171</v>
      </c>
      <c r="E118" s="2">
        <v>45482</v>
      </c>
      <c r="F118" s="2">
        <v>45500</v>
      </c>
      <c r="G118" t="s">
        <v>173</v>
      </c>
      <c r="H118">
        <v>18</v>
      </c>
      <c r="I118" t="s">
        <v>178</v>
      </c>
    </row>
    <row r="119" spans="1:9" x14ac:dyDescent="0.3">
      <c r="A119" t="s">
        <v>126</v>
      </c>
      <c r="B119" t="s">
        <v>163</v>
      </c>
      <c r="C119" t="s">
        <v>168</v>
      </c>
      <c r="D119" t="s">
        <v>170</v>
      </c>
      <c r="E119" s="2">
        <v>45497</v>
      </c>
      <c r="F119" s="2">
        <v>45507</v>
      </c>
      <c r="G119" t="s">
        <v>176</v>
      </c>
      <c r="H119">
        <v>10</v>
      </c>
      <c r="I119" t="s">
        <v>177</v>
      </c>
    </row>
    <row r="120" spans="1:9" x14ac:dyDescent="0.3">
      <c r="A120" t="s">
        <v>127</v>
      </c>
      <c r="B120" t="s">
        <v>161</v>
      </c>
      <c r="C120" t="s">
        <v>166</v>
      </c>
      <c r="D120" t="s">
        <v>171</v>
      </c>
      <c r="E120" s="2">
        <v>45556</v>
      </c>
      <c r="F120" s="2">
        <v>45560</v>
      </c>
      <c r="G120" t="s">
        <v>173</v>
      </c>
      <c r="H120">
        <v>4</v>
      </c>
      <c r="I120" t="s">
        <v>177</v>
      </c>
    </row>
    <row r="121" spans="1:9" x14ac:dyDescent="0.3">
      <c r="A121" t="s">
        <v>128</v>
      </c>
      <c r="B121" t="s">
        <v>159</v>
      </c>
      <c r="C121" t="s">
        <v>167</v>
      </c>
      <c r="D121" t="s">
        <v>171</v>
      </c>
      <c r="E121" s="2">
        <v>45534</v>
      </c>
      <c r="F121" s="2">
        <v>45543</v>
      </c>
      <c r="G121" t="s">
        <v>175</v>
      </c>
      <c r="H121">
        <v>9</v>
      </c>
      <c r="I121" t="s">
        <v>177</v>
      </c>
    </row>
    <row r="122" spans="1:9" x14ac:dyDescent="0.3">
      <c r="A122" t="s">
        <v>129</v>
      </c>
      <c r="B122" t="s">
        <v>160</v>
      </c>
      <c r="C122" t="s">
        <v>167</v>
      </c>
      <c r="D122" t="s">
        <v>171</v>
      </c>
      <c r="E122" s="2">
        <v>45513</v>
      </c>
      <c r="F122" s="2">
        <v>45531</v>
      </c>
      <c r="G122" t="s">
        <v>174</v>
      </c>
      <c r="H122">
        <v>18</v>
      </c>
      <c r="I122" t="s">
        <v>178</v>
      </c>
    </row>
    <row r="123" spans="1:9" x14ac:dyDescent="0.3">
      <c r="A123" t="s">
        <v>130</v>
      </c>
      <c r="B123" t="s">
        <v>160</v>
      </c>
      <c r="C123" t="s">
        <v>164</v>
      </c>
      <c r="D123" t="s">
        <v>170</v>
      </c>
      <c r="E123" s="2">
        <v>45456</v>
      </c>
      <c r="F123" s="2">
        <v>45464</v>
      </c>
      <c r="G123" t="s">
        <v>175</v>
      </c>
      <c r="H123">
        <v>8</v>
      </c>
      <c r="I123" t="s">
        <v>177</v>
      </c>
    </row>
    <row r="124" spans="1:9" x14ac:dyDescent="0.3">
      <c r="A124" t="s">
        <v>131</v>
      </c>
      <c r="B124" t="s">
        <v>162</v>
      </c>
      <c r="C124" t="s">
        <v>167</v>
      </c>
      <c r="D124" t="s">
        <v>170</v>
      </c>
      <c r="E124" s="2">
        <v>45382</v>
      </c>
      <c r="F124" s="2">
        <v>45399</v>
      </c>
      <c r="G124" t="s">
        <v>176</v>
      </c>
      <c r="H124">
        <v>17</v>
      </c>
      <c r="I124" t="s">
        <v>178</v>
      </c>
    </row>
    <row r="125" spans="1:9" x14ac:dyDescent="0.3">
      <c r="A125" t="s">
        <v>132</v>
      </c>
      <c r="B125" t="s">
        <v>163</v>
      </c>
      <c r="C125" t="s">
        <v>168</v>
      </c>
      <c r="D125" t="s">
        <v>170</v>
      </c>
      <c r="E125" s="2">
        <v>45581</v>
      </c>
      <c r="F125" s="2">
        <v>45592</v>
      </c>
      <c r="G125" t="s">
        <v>172</v>
      </c>
      <c r="H125">
        <v>11</v>
      </c>
      <c r="I125" t="s">
        <v>177</v>
      </c>
    </row>
    <row r="126" spans="1:9" x14ac:dyDescent="0.3">
      <c r="A126" t="s">
        <v>133</v>
      </c>
      <c r="B126" t="s">
        <v>159</v>
      </c>
      <c r="C126" t="s">
        <v>168</v>
      </c>
      <c r="D126" t="s">
        <v>171</v>
      </c>
      <c r="E126" s="2">
        <v>45419</v>
      </c>
      <c r="F126" s="2">
        <v>45442</v>
      </c>
      <c r="G126" t="s">
        <v>173</v>
      </c>
      <c r="H126">
        <v>23</v>
      </c>
      <c r="I126" t="s">
        <v>178</v>
      </c>
    </row>
    <row r="127" spans="1:9" x14ac:dyDescent="0.3">
      <c r="A127" t="s">
        <v>134</v>
      </c>
      <c r="B127" t="s">
        <v>163</v>
      </c>
      <c r="C127" t="s">
        <v>169</v>
      </c>
      <c r="D127" t="s">
        <v>170</v>
      </c>
      <c r="E127" s="2">
        <v>45470</v>
      </c>
      <c r="F127" s="2">
        <v>45475</v>
      </c>
      <c r="G127" t="s">
        <v>174</v>
      </c>
      <c r="H127">
        <v>5</v>
      </c>
      <c r="I127" t="s">
        <v>177</v>
      </c>
    </row>
    <row r="128" spans="1:9" x14ac:dyDescent="0.3">
      <c r="A128" t="s">
        <v>135</v>
      </c>
      <c r="B128" t="s">
        <v>159</v>
      </c>
      <c r="C128" t="s">
        <v>168</v>
      </c>
      <c r="D128" t="s">
        <v>170</v>
      </c>
      <c r="E128" s="2">
        <v>45304</v>
      </c>
      <c r="F128" s="2">
        <v>45317</v>
      </c>
      <c r="G128" t="s">
        <v>173</v>
      </c>
      <c r="H128">
        <v>13</v>
      </c>
      <c r="I128" t="s">
        <v>177</v>
      </c>
    </row>
    <row r="129" spans="1:9" x14ac:dyDescent="0.3">
      <c r="A129" t="s">
        <v>136</v>
      </c>
      <c r="B129" t="s">
        <v>162</v>
      </c>
      <c r="C129" t="s">
        <v>168</v>
      </c>
      <c r="D129" t="s">
        <v>171</v>
      </c>
      <c r="E129" s="2">
        <v>45476</v>
      </c>
      <c r="F129" s="2">
        <v>45492</v>
      </c>
      <c r="G129" t="s">
        <v>176</v>
      </c>
      <c r="H129">
        <v>16</v>
      </c>
      <c r="I129" t="s">
        <v>178</v>
      </c>
    </row>
    <row r="130" spans="1:9" x14ac:dyDescent="0.3">
      <c r="A130" t="s">
        <v>137</v>
      </c>
      <c r="B130" t="s">
        <v>162</v>
      </c>
      <c r="C130" t="s">
        <v>164</v>
      </c>
      <c r="D130" t="s">
        <v>170</v>
      </c>
      <c r="E130" s="2">
        <v>45411</v>
      </c>
      <c r="F130" s="2">
        <v>45429</v>
      </c>
      <c r="G130" t="s">
        <v>173</v>
      </c>
      <c r="H130">
        <v>18</v>
      </c>
      <c r="I130" t="s">
        <v>178</v>
      </c>
    </row>
    <row r="131" spans="1:9" x14ac:dyDescent="0.3">
      <c r="A131" t="s">
        <v>138</v>
      </c>
      <c r="B131" t="s">
        <v>160</v>
      </c>
      <c r="C131" t="s">
        <v>168</v>
      </c>
      <c r="D131" t="s">
        <v>170</v>
      </c>
      <c r="E131" s="2">
        <v>45567</v>
      </c>
      <c r="F131" s="2">
        <v>45590</v>
      </c>
      <c r="G131" t="s">
        <v>174</v>
      </c>
      <c r="H131">
        <v>23</v>
      </c>
      <c r="I131" t="s">
        <v>178</v>
      </c>
    </row>
    <row r="132" spans="1:9" x14ac:dyDescent="0.3">
      <c r="A132" t="s">
        <v>139</v>
      </c>
      <c r="B132" t="s">
        <v>163</v>
      </c>
      <c r="C132" t="s">
        <v>169</v>
      </c>
      <c r="D132" t="s">
        <v>170</v>
      </c>
      <c r="E132" s="2">
        <v>45471</v>
      </c>
      <c r="F132" s="2">
        <v>45474</v>
      </c>
      <c r="G132" t="s">
        <v>176</v>
      </c>
      <c r="H132">
        <v>3</v>
      </c>
      <c r="I132" t="s">
        <v>177</v>
      </c>
    </row>
    <row r="133" spans="1:9" x14ac:dyDescent="0.3">
      <c r="A133" t="s">
        <v>140</v>
      </c>
      <c r="B133" t="s">
        <v>160</v>
      </c>
      <c r="C133" t="s">
        <v>166</v>
      </c>
      <c r="D133" t="s">
        <v>170</v>
      </c>
      <c r="E133" s="2">
        <v>45303</v>
      </c>
      <c r="F133" s="2">
        <v>45307</v>
      </c>
      <c r="G133" t="s">
        <v>173</v>
      </c>
      <c r="H133">
        <v>4</v>
      </c>
      <c r="I133" t="s">
        <v>177</v>
      </c>
    </row>
    <row r="134" spans="1:9" x14ac:dyDescent="0.3">
      <c r="A134" t="s">
        <v>141</v>
      </c>
      <c r="B134" t="s">
        <v>163</v>
      </c>
      <c r="C134" t="s">
        <v>164</v>
      </c>
      <c r="D134" t="s">
        <v>170</v>
      </c>
      <c r="E134" s="2">
        <v>45340</v>
      </c>
      <c r="F134" s="2">
        <v>45346</v>
      </c>
      <c r="G134" t="s">
        <v>172</v>
      </c>
      <c r="H134">
        <v>6</v>
      </c>
      <c r="I134" t="s">
        <v>177</v>
      </c>
    </row>
    <row r="135" spans="1:9" x14ac:dyDescent="0.3">
      <c r="A135" t="s">
        <v>142</v>
      </c>
      <c r="B135" t="s">
        <v>160</v>
      </c>
      <c r="C135" t="s">
        <v>166</v>
      </c>
      <c r="D135" t="s">
        <v>170</v>
      </c>
      <c r="E135" s="2">
        <v>45321</v>
      </c>
      <c r="F135" s="2">
        <v>45332</v>
      </c>
      <c r="G135" t="s">
        <v>176</v>
      </c>
      <c r="H135">
        <v>11</v>
      </c>
      <c r="I135" t="s">
        <v>177</v>
      </c>
    </row>
    <row r="136" spans="1:9" x14ac:dyDescent="0.3">
      <c r="A136" t="s">
        <v>143</v>
      </c>
      <c r="B136" t="s">
        <v>161</v>
      </c>
      <c r="C136" t="s">
        <v>164</v>
      </c>
      <c r="D136" t="s">
        <v>170</v>
      </c>
      <c r="E136" s="2">
        <v>45525</v>
      </c>
      <c r="F136" s="2">
        <v>45529</v>
      </c>
      <c r="G136" t="s">
        <v>176</v>
      </c>
      <c r="H136">
        <v>4</v>
      </c>
      <c r="I136" t="s">
        <v>177</v>
      </c>
    </row>
    <row r="137" spans="1:9" x14ac:dyDescent="0.3">
      <c r="A137" t="s">
        <v>144</v>
      </c>
      <c r="B137" t="s">
        <v>161</v>
      </c>
      <c r="C137" t="s">
        <v>165</v>
      </c>
      <c r="D137" t="s">
        <v>171</v>
      </c>
      <c r="E137" s="2">
        <v>45427</v>
      </c>
      <c r="F137" s="2">
        <v>45441</v>
      </c>
      <c r="G137" t="s">
        <v>172</v>
      </c>
      <c r="H137">
        <v>14</v>
      </c>
      <c r="I137" t="s">
        <v>177</v>
      </c>
    </row>
    <row r="138" spans="1:9" x14ac:dyDescent="0.3">
      <c r="A138" t="s">
        <v>145</v>
      </c>
      <c r="B138" t="s">
        <v>161</v>
      </c>
      <c r="C138" t="s">
        <v>167</v>
      </c>
      <c r="D138" t="s">
        <v>170</v>
      </c>
      <c r="E138" s="2">
        <v>45371</v>
      </c>
      <c r="F138" s="2">
        <v>45377</v>
      </c>
      <c r="G138" t="s">
        <v>175</v>
      </c>
      <c r="H138">
        <v>6</v>
      </c>
      <c r="I138" t="s">
        <v>177</v>
      </c>
    </row>
    <row r="139" spans="1:9" x14ac:dyDescent="0.3">
      <c r="A139" t="s">
        <v>146</v>
      </c>
      <c r="B139" t="s">
        <v>161</v>
      </c>
      <c r="C139" t="s">
        <v>165</v>
      </c>
      <c r="D139" t="s">
        <v>171</v>
      </c>
      <c r="E139" s="2">
        <v>45361</v>
      </c>
      <c r="F139" s="2">
        <v>45367</v>
      </c>
      <c r="G139" t="s">
        <v>174</v>
      </c>
      <c r="H139">
        <v>6</v>
      </c>
      <c r="I139" t="s">
        <v>177</v>
      </c>
    </row>
    <row r="140" spans="1:9" x14ac:dyDescent="0.3">
      <c r="A140" t="s">
        <v>147</v>
      </c>
      <c r="B140" t="s">
        <v>159</v>
      </c>
      <c r="C140" t="s">
        <v>168</v>
      </c>
      <c r="D140" t="s">
        <v>170</v>
      </c>
      <c r="E140" s="2">
        <v>45393</v>
      </c>
      <c r="F140" s="2">
        <v>45396</v>
      </c>
      <c r="G140" t="s">
        <v>175</v>
      </c>
      <c r="H140">
        <v>3</v>
      </c>
      <c r="I140" t="s">
        <v>177</v>
      </c>
    </row>
    <row r="141" spans="1:9" x14ac:dyDescent="0.3">
      <c r="A141" t="s">
        <v>148</v>
      </c>
      <c r="B141" t="s">
        <v>161</v>
      </c>
      <c r="C141" t="s">
        <v>166</v>
      </c>
      <c r="D141" t="s">
        <v>171</v>
      </c>
      <c r="E141" s="2">
        <v>45561</v>
      </c>
      <c r="F141" s="2">
        <v>45577</v>
      </c>
      <c r="G141" t="s">
        <v>173</v>
      </c>
      <c r="H141">
        <v>16</v>
      </c>
      <c r="I141" t="s">
        <v>178</v>
      </c>
    </row>
    <row r="142" spans="1:9" x14ac:dyDescent="0.3">
      <c r="A142" t="s">
        <v>149</v>
      </c>
      <c r="B142" t="s">
        <v>162</v>
      </c>
      <c r="C142" t="s">
        <v>168</v>
      </c>
      <c r="D142" t="s">
        <v>171</v>
      </c>
      <c r="E142" s="2">
        <v>45481</v>
      </c>
      <c r="F142" s="2">
        <v>45490</v>
      </c>
      <c r="G142" t="s">
        <v>172</v>
      </c>
      <c r="H142">
        <v>9</v>
      </c>
      <c r="I142" t="s">
        <v>177</v>
      </c>
    </row>
    <row r="143" spans="1:9" x14ac:dyDescent="0.3">
      <c r="A143" t="s">
        <v>150</v>
      </c>
      <c r="B143" t="s">
        <v>162</v>
      </c>
      <c r="C143" t="s">
        <v>167</v>
      </c>
      <c r="D143" t="s">
        <v>171</v>
      </c>
      <c r="E143" s="2">
        <v>45531</v>
      </c>
      <c r="F143" s="2">
        <v>45540</v>
      </c>
      <c r="G143" t="s">
        <v>175</v>
      </c>
      <c r="H143">
        <v>9</v>
      </c>
      <c r="I143" t="s">
        <v>177</v>
      </c>
    </row>
    <row r="144" spans="1:9" x14ac:dyDescent="0.3">
      <c r="A144" t="s">
        <v>151</v>
      </c>
      <c r="B144" t="s">
        <v>159</v>
      </c>
      <c r="C144" t="s">
        <v>164</v>
      </c>
      <c r="D144" t="s">
        <v>170</v>
      </c>
      <c r="E144" s="2">
        <v>45483</v>
      </c>
      <c r="F144" s="2">
        <v>45496</v>
      </c>
      <c r="G144" t="s">
        <v>176</v>
      </c>
      <c r="H144">
        <v>13</v>
      </c>
      <c r="I144" t="s">
        <v>177</v>
      </c>
    </row>
    <row r="145" spans="1:9" x14ac:dyDescent="0.3">
      <c r="A145" t="s">
        <v>152</v>
      </c>
      <c r="B145" t="s">
        <v>161</v>
      </c>
      <c r="C145" t="s">
        <v>167</v>
      </c>
      <c r="D145" t="s">
        <v>171</v>
      </c>
      <c r="E145" s="2">
        <v>45584</v>
      </c>
      <c r="F145" s="2">
        <v>45605</v>
      </c>
      <c r="G145" t="s">
        <v>173</v>
      </c>
      <c r="H145">
        <v>21</v>
      </c>
      <c r="I145" t="s">
        <v>178</v>
      </c>
    </row>
    <row r="146" spans="1:9" x14ac:dyDescent="0.3">
      <c r="A146" t="s">
        <v>153</v>
      </c>
      <c r="B146" t="s">
        <v>161</v>
      </c>
      <c r="C146" t="s">
        <v>169</v>
      </c>
      <c r="D146" t="s">
        <v>171</v>
      </c>
      <c r="E146" s="2">
        <v>45581</v>
      </c>
      <c r="F146" s="2">
        <v>45589</v>
      </c>
      <c r="G146" t="s">
        <v>173</v>
      </c>
      <c r="H146">
        <v>8</v>
      </c>
      <c r="I146" t="s">
        <v>177</v>
      </c>
    </row>
    <row r="147" spans="1:9" x14ac:dyDescent="0.3">
      <c r="A147" t="s">
        <v>154</v>
      </c>
      <c r="B147" t="s">
        <v>161</v>
      </c>
      <c r="C147" t="s">
        <v>167</v>
      </c>
      <c r="D147" t="s">
        <v>171</v>
      </c>
      <c r="E147" s="2">
        <v>45438</v>
      </c>
      <c r="F147" s="2">
        <v>45446</v>
      </c>
      <c r="G147" t="s">
        <v>175</v>
      </c>
      <c r="H147">
        <v>8</v>
      </c>
      <c r="I147" t="s">
        <v>177</v>
      </c>
    </row>
    <row r="148" spans="1:9" x14ac:dyDescent="0.3">
      <c r="A148" t="s">
        <v>155</v>
      </c>
      <c r="B148" t="s">
        <v>160</v>
      </c>
      <c r="C148" t="s">
        <v>169</v>
      </c>
      <c r="D148" t="s">
        <v>170</v>
      </c>
      <c r="E148" s="2">
        <v>45518</v>
      </c>
      <c r="F148" s="2">
        <v>45525</v>
      </c>
      <c r="G148" t="s">
        <v>175</v>
      </c>
      <c r="H148">
        <v>7</v>
      </c>
      <c r="I148" t="s">
        <v>177</v>
      </c>
    </row>
    <row r="149" spans="1:9" x14ac:dyDescent="0.3">
      <c r="A149" t="s">
        <v>156</v>
      </c>
      <c r="B149" t="s">
        <v>163</v>
      </c>
      <c r="C149" t="s">
        <v>167</v>
      </c>
      <c r="D149" t="s">
        <v>170</v>
      </c>
      <c r="E149" s="2">
        <v>45384</v>
      </c>
      <c r="F149" s="2">
        <v>45388</v>
      </c>
      <c r="G149" t="s">
        <v>172</v>
      </c>
      <c r="H149">
        <v>4</v>
      </c>
      <c r="I149" t="s">
        <v>177</v>
      </c>
    </row>
    <row r="150" spans="1:9" x14ac:dyDescent="0.3">
      <c r="A150" t="s">
        <v>157</v>
      </c>
      <c r="B150" t="s">
        <v>160</v>
      </c>
      <c r="C150" t="s">
        <v>169</v>
      </c>
      <c r="D150" t="s">
        <v>170</v>
      </c>
      <c r="E150" s="2">
        <v>45409</v>
      </c>
      <c r="F150" s="2">
        <v>45428</v>
      </c>
      <c r="G150" t="s">
        <v>174</v>
      </c>
      <c r="H150">
        <v>19</v>
      </c>
      <c r="I150" t="s">
        <v>178</v>
      </c>
    </row>
    <row r="151" spans="1:9" x14ac:dyDescent="0.3">
      <c r="A151" t="s">
        <v>158</v>
      </c>
      <c r="B151" t="s">
        <v>163</v>
      </c>
      <c r="C151" t="s">
        <v>166</v>
      </c>
      <c r="D151" t="s">
        <v>170</v>
      </c>
      <c r="E151" s="2">
        <v>45312</v>
      </c>
      <c r="F151" s="2">
        <v>45324</v>
      </c>
      <c r="G151" t="s">
        <v>175</v>
      </c>
      <c r="H151">
        <v>12</v>
      </c>
      <c r="I151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AN13"/>
  <sheetViews>
    <sheetView tabSelected="1" zoomScaleNormal="100" workbookViewId="0">
      <selection activeCell="G9" sqref="G9"/>
    </sheetView>
  </sheetViews>
  <sheetFormatPr defaultRowHeight="14.4" x14ac:dyDescent="0.3"/>
  <cols>
    <col min="2" max="2" width="11.109375" bestFit="1" customWidth="1"/>
    <col min="4" max="4" width="12.88671875" bestFit="1" customWidth="1"/>
    <col min="5" max="5" width="15.5546875" bestFit="1" customWidth="1"/>
    <col min="9" max="9" width="11.21875" customWidth="1"/>
    <col min="11" max="11" width="12.5546875" customWidth="1"/>
    <col min="12" max="12" width="15.5546875" bestFit="1" customWidth="1"/>
    <col min="15" max="15" width="13" customWidth="1"/>
    <col min="17" max="17" width="12.88671875" customWidth="1"/>
    <col min="18" max="18" width="24.88671875" customWidth="1"/>
    <col min="19" max="19" width="9.77734375" customWidth="1"/>
    <col min="21" max="21" width="13" customWidth="1"/>
    <col min="22" max="22" width="3.5546875" customWidth="1"/>
    <col min="23" max="23" width="12.5546875" customWidth="1"/>
    <col min="24" max="24" width="15.5546875" bestFit="1" customWidth="1"/>
    <col min="27" max="27" width="13" customWidth="1"/>
    <col min="29" max="29" width="18.33203125" customWidth="1"/>
    <col min="37" max="37" width="15.5546875" customWidth="1"/>
    <col min="38" max="38" width="15.5546875" bestFit="1" customWidth="1"/>
    <col min="39" max="39" width="7.109375" customWidth="1"/>
    <col min="40" max="40" width="10.77734375" bestFit="1" customWidth="1"/>
  </cols>
  <sheetData>
    <row r="6" spans="2:40" x14ac:dyDescent="0.3">
      <c r="B6" s="6" t="s">
        <v>182</v>
      </c>
      <c r="D6" s="3" t="s">
        <v>179</v>
      </c>
      <c r="E6" t="s">
        <v>181</v>
      </c>
      <c r="I6" s="6" t="s">
        <v>183</v>
      </c>
      <c r="K6" s="3" t="s">
        <v>179</v>
      </c>
      <c r="L6" t="s">
        <v>181</v>
      </c>
      <c r="O6" t="s">
        <v>182</v>
      </c>
      <c r="Q6" s="3" t="s">
        <v>179</v>
      </c>
      <c r="R6" s="4" t="s">
        <v>184</v>
      </c>
      <c r="U6" t="s">
        <v>182</v>
      </c>
      <c r="W6" s="3" t="s">
        <v>179</v>
      </c>
      <c r="X6" s="4" t="s">
        <v>181</v>
      </c>
      <c r="AC6" t="s">
        <v>182</v>
      </c>
      <c r="AK6" s="3" t="s">
        <v>181</v>
      </c>
      <c r="AL6" s="3" t="s">
        <v>185</v>
      </c>
    </row>
    <row r="7" spans="2:40" x14ac:dyDescent="0.3">
      <c r="B7">
        <f>ROUND(COUNTIFS(Dataset!C:C,"Africa"),2)</f>
        <v>21</v>
      </c>
      <c r="D7" s="4" t="s">
        <v>165</v>
      </c>
      <c r="E7" s="5">
        <v>21</v>
      </c>
      <c r="I7">
        <f>ROUND(COUNTIFS(Dataset!D:D,"Non-Serious") / COUNTA(Dataset!D:D) * 100, 2)</f>
        <v>66.89</v>
      </c>
      <c r="K7" s="4" t="s">
        <v>170</v>
      </c>
      <c r="L7" s="7">
        <v>0.67333333333333334</v>
      </c>
      <c r="O7">
        <f>ROUND(AVERAGE(Dataset!H:H), 2)</f>
        <v>13.99</v>
      </c>
      <c r="Q7" s="4" t="s">
        <v>165</v>
      </c>
      <c r="R7" s="5">
        <v>15.047619047619047</v>
      </c>
      <c r="U7">
        <f>ROUND(COUNTIFS(Dataset!I:I,"No") / COUNTA(Dataset!I:I) * 100, 2)</f>
        <v>43.71</v>
      </c>
      <c r="W7" s="4" t="s">
        <v>178</v>
      </c>
      <c r="X7" s="7">
        <v>0.44</v>
      </c>
      <c r="AC7">
        <f>ROUND(AVERAGEIFS(Dataset!H:H, Dataset!D:D,"Serious"), 2)</f>
        <v>13.43</v>
      </c>
      <c r="AK7" s="3" t="s">
        <v>179</v>
      </c>
      <c r="AL7" t="s">
        <v>170</v>
      </c>
      <c r="AM7" t="s">
        <v>171</v>
      </c>
      <c r="AN7" t="s">
        <v>180</v>
      </c>
    </row>
    <row r="8" spans="2:40" x14ac:dyDescent="0.3">
      <c r="B8">
        <f>ROUND(COUNTIFS(Dataset!C:C,"Asia-Pacific"),2)</f>
        <v>23</v>
      </c>
      <c r="D8" s="4" t="s">
        <v>164</v>
      </c>
      <c r="E8" s="5">
        <v>23</v>
      </c>
      <c r="I8">
        <f>ROUND(COUNTIFS(Dataset!D:D,"Serious") / COUNTA(Dataset!D:D) * 100, 2)</f>
        <v>32.450000000000003</v>
      </c>
      <c r="K8" s="4" t="s">
        <v>171</v>
      </c>
      <c r="L8" s="7">
        <v>0.32666666666666666</v>
      </c>
      <c r="Q8" s="4" t="s">
        <v>164</v>
      </c>
      <c r="R8" s="5">
        <v>12.608695652173912</v>
      </c>
      <c r="U8">
        <f>ROUND(COUNTIFS(Dataset!I:I,"Yes") / COUNTA(Dataset!I:I) * 100, 2)</f>
        <v>55.63</v>
      </c>
      <c r="W8" s="4" t="s">
        <v>177</v>
      </c>
      <c r="X8" s="7">
        <v>0.56000000000000005</v>
      </c>
      <c r="AC8">
        <f>ROUND(AVERAGEIFS(Dataset!H:H, Dataset!D:D,"Non-Serious"), 2)</f>
        <v>14.26</v>
      </c>
      <c r="AK8" s="4" t="s">
        <v>159</v>
      </c>
      <c r="AL8" s="7">
        <v>0.65625</v>
      </c>
      <c r="AM8" s="7">
        <v>0.34375</v>
      </c>
      <c r="AN8" s="7">
        <v>1</v>
      </c>
    </row>
    <row r="9" spans="2:40" x14ac:dyDescent="0.3">
      <c r="B9">
        <f>ROUND(COUNTIFS(Dataset!C:C,"Europe"),2)</f>
        <v>25</v>
      </c>
      <c r="D9" s="4" t="s">
        <v>166</v>
      </c>
      <c r="E9" s="5">
        <v>25</v>
      </c>
      <c r="K9" s="4" t="s">
        <v>180</v>
      </c>
      <c r="L9" s="7">
        <v>1</v>
      </c>
      <c r="Q9" s="4" t="s">
        <v>166</v>
      </c>
      <c r="R9" s="5">
        <v>14.6</v>
      </c>
      <c r="W9" s="4" t="s">
        <v>180</v>
      </c>
      <c r="X9" s="7">
        <v>1</v>
      </c>
      <c r="AK9" s="4" t="s">
        <v>160</v>
      </c>
      <c r="AL9" s="7">
        <v>0.75757575757575757</v>
      </c>
      <c r="AM9" s="7">
        <v>0.24242424242424243</v>
      </c>
      <c r="AN9" s="7">
        <v>1</v>
      </c>
    </row>
    <row r="10" spans="2:40" x14ac:dyDescent="0.3">
      <c r="B10">
        <f>ROUND(COUNTIFS(Dataset!C:C,"Middle East"),2)</f>
        <v>32</v>
      </c>
      <c r="D10" s="4" t="s">
        <v>168</v>
      </c>
      <c r="E10" s="5">
        <v>32</v>
      </c>
      <c r="Q10" s="4" t="s">
        <v>168</v>
      </c>
      <c r="R10" s="5">
        <v>13.84375</v>
      </c>
      <c r="AK10" s="4" t="s">
        <v>163</v>
      </c>
      <c r="AL10" s="7">
        <v>0.78125</v>
      </c>
      <c r="AM10" s="7">
        <v>0.21875</v>
      </c>
      <c r="AN10" s="7">
        <v>1</v>
      </c>
    </row>
    <row r="11" spans="2:40" x14ac:dyDescent="0.3">
      <c r="B11">
        <f>ROUND(COUNTIFS(Dataset!C:C,"North America"),2)</f>
        <v>26</v>
      </c>
      <c r="D11" s="4" t="s">
        <v>169</v>
      </c>
      <c r="E11" s="5">
        <v>26</v>
      </c>
      <c r="Q11" s="4" t="s">
        <v>169</v>
      </c>
      <c r="R11" s="5">
        <v>13.346153846153847</v>
      </c>
      <c r="AK11" s="4" t="s">
        <v>161</v>
      </c>
      <c r="AL11" s="7">
        <v>0.51724137931034486</v>
      </c>
      <c r="AM11" s="7">
        <v>0.48275862068965519</v>
      </c>
      <c r="AN11" s="7">
        <v>1</v>
      </c>
    </row>
    <row r="12" spans="2:40" x14ac:dyDescent="0.3">
      <c r="B12">
        <f>ROUND(COUNTIFS(Dataset!C:C,"South America"),2)</f>
        <v>23</v>
      </c>
      <c r="D12" s="4" t="s">
        <v>167</v>
      </c>
      <c r="E12" s="5">
        <v>23</v>
      </c>
      <c r="Q12" s="4" t="s">
        <v>167</v>
      </c>
      <c r="R12" s="5">
        <v>14.652173913043478</v>
      </c>
      <c r="AK12" s="4" t="s">
        <v>162</v>
      </c>
      <c r="AL12" s="7">
        <v>0.625</v>
      </c>
      <c r="AM12" s="7">
        <v>0.375</v>
      </c>
      <c r="AN12" s="7">
        <v>1</v>
      </c>
    </row>
    <row r="13" spans="2:40" x14ac:dyDescent="0.3">
      <c r="D13" s="4" t="s">
        <v>180</v>
      </c>
      <c r="E13" s="5">
        <v>150</v>
      </c>
      <c r="Q13" s="4" t="s">
        <v>180</v>
      </c>
      <c r="R13" s="5">
        <v>13.986666666666666</v>
      </c>
      <c r="AK13" s="4" t="s">
        <v>180</v>
      </c>
      <c r="AL13" s="7">
        <v>0.67333333333333334</v>
      </c>
      <c r="AM13" s="7">
        <v>0.32666666666666666</v>
      </c>
      <c r="AN13" s="7">
        <v>1</v>
      </c>
    </row>
  </sheetData>
  <pageMargins left="0.7" right="0.7" top="0.75" bottom="0.75" header="0.3" footer="0.3"/>
  <pageSetup orientation="portrait" r:id="rId6"/>
  <drawing r:id="rId7"/>
  <tableParts count="5"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KPI_Calculations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2025-10-29T16:43:13Z</dcterms:created>
  <dcterms:modified xsi:type="dcterms:W3CDTF">2025-10-30T16:32:24Z</dcterms:modified>
</cp:coreProperties>
</file>